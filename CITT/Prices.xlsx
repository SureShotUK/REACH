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erminai\CITT\"/>
    </mc:Choice>
  </mc:AlternateContent>
  <xr:revisionPtr revIDLastSave="0" documentId="13_ncr:1_{4270BF28-2C4A-4CE1-9B36-78E7927CD75B}" xr6:coauthVersionLast="47" xr6:coauthVersionMax="47" xr10:uidLastSave="{00000000-0000-0000-0000-000000000000}"/>
  <bookViews>
    <workbookView xWindow="-28920" yWindow="-120" windowWidth="29040" windowHeight="15720" firstSheet="6" activeTab="11" xr2:uid="{8DD188A2-519E-4248-8AC8-FC5113A5D7A7}"/>
  </bookViews>
  <sheets>
    <sheet name="Curve Structure Jet" sheetId="10" r:id="rId1"/>
    <sheet name="Curve Structure WTI" sheetId="9" r:id="rId2"/>
    <sheet name="Curve Structure Brent" sheetId="8" r:id="rId3"/>
    <sheet name="NRCAN Canaada Average" sheetId="12" r:id="rId4"/>
    <sheet name="Curve Structure USDCAD" sheetId="11" r:id="rId5"/>
    <sheet name="Curve Structure Diesel" sheetId="7" r:id="rId6"/>
    <sheet name="Spot vs Forwards" sheetId="6" r:id="rId7"/>
    <sheet name="Diesel" sheetId="5" r:id="rId8"/>
    <sheet name="FXRates" sheetId="4" r:id="rId9"/>
    <sheet name="StartDate" sheetId="3" r:id="rId10"/>
    <sheet name="Spot" sheetId="2" r:id="rId11"/>
    <sheet name="Forecast Values" sheetId="14" r:id="rId12"/>
    <sheet name="Forecast Price" sheetId="1" r:id="rId13"/>
  </sheets>
  <definedNames>
    <definedName name="ExternalData_1" localSheetId="10" hidden="1">Spot!$A$1:$E$70</definedName>
    <definedName name="ExternalData_2" localSheetId="9" hidden="1">StartDate!$A$1:$A$2</definedName>
    <definedName name="ExternalData_3" localSheetId="8" hidden="1">FXRates!$A$1:$D$70</definedName>
    <definedName name="ExternalData_4" localSheetId="7" hidden="1">Diesel!$A$1:$F$70</definedName>
    <definedName name="ExternalData_5" localSheetId="6" hidden="1">'Spot vs Forwards'!$A$1:$K$70</definedName>
    <definedName name="ExternalData_6" localSheetId="5" hidden="1">'Curve Structure Diesel'!$A$1:$J$83</definedName>
    <definedName name="ExternalData_7" localSheetId="2" hidden="1">'Curve Structure Brent'!$A$1:$D$85</definedName>
    <definedName name="ExternalData_7" localSheetId="4" hidden="1">'Curve Structure USDCAD'!$A$1:$E$38</definedName>
    <definedName name="ExternalData_8" localSheetId="1" hidden="1">'Curve Structure WTI'!$A$1:$D$132</definedName>
    <definedName name="ExternalData_8" localSheetId="3" hidden="1">'NRCAN Canaada Average'!$A$1:$D$72</definedName>
    <definedName name="ExternalData_9" localSheetId="0" hidden="1">'Curve Structure Jet'!$A$1:$D$60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4" l="1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21" i="14"/>
  <c r="D20" i="14"/>
  <c r="D19" i="14"/>
  <c r="D18" i="14"/>
  <c r="D17" i="14"/>
  <c r="D16" i="14"/>
  <c r="D15" i="14"/>
  <c r="D14" i="14"/>
  <c r="D13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22" i="14"/>
  <c r="D3" i="14"/>
  <c r="D4" i="14"/>
  <c r="D5" i="14"/>
  <c r="D6" i="14"/>
  <c r="D7" i="14"/>
  <c r="D8" i="14"/>
  <c r="D9" i="14"/>
  <c r="D10" i="14"/>
  <c r="D11" i="14"/>
  <c r="D12" i="14"/>
  <c r="D2" i="14"/>
  <c r="R10" i="14"/>
  <c r="S10" i="14" s="1"/>
  <c r="Q6" i="14"/>
  <c r="S3" i="14"/>
  <c r="C9" i="14" s="1"/>
  <c r="H32" i="14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8" i="14" s="1"/>
  <c r="H59" i="14" s="1"/>
  <c r="H60" i="14" s="1"/>
  <c r="H61" i="14" s="1"/>
  <c r="H62" i="14" s="1"/>
  <c r="H63" i="14" s="1"/>
  <c r="H64" i="14" s="1"/>
  <c r="H65" i="14" s="1"/>
  <c r="H66" i="14" s="1"/>
  <c r="H67" i="14" s="1"/>
  <c r="H68" i="14" s="1"/>
  <c r="H69" i="14" s="1"/>
  <c r="H70" i="14" s="1"/>
  <c r="H71" i="14" s="1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H88" i="14" s="1"/>
  <c r="H89" i="14" s="1"/>
  <c r="H90" i="14" s="1"/>
  <c r="H91" i="14" s="1"/>
  <c r="H92" i="14" s="1"/>
  <c r="H93" i="14" s="1"/>
  <c r="H94" i="14" s="1"/>
  <c r="H95" i="14" s="1"/>
  <c r="H96" i="14" s="1"/>
  <c r="H97" i="14" s="1"/>
  <c r="H98" i="14" s="1"/>
  <c r="H99" i="14" s="1"/>
  <c r="H100" i="14" s="1"/>
  <c r="H101" i="14" s="1"/>
  <c r="H102" i="14" s="1"/>
  <c r="H103" i="14" s="1"/>
  <c r="H104" i="14" s="1"/>
  <c r="H105" i="14" s="1"/>
  <c r="H106" i="14" s="1"/>
  <c r="H107" i="14" s="1"/>
  <c r="H108" i="14" s="1"/>
  <c r="H109" i="14" s="1"/>
  <c r="H110" i="14" s="1"/>
  <c r="H111" i="14" s="1"/>
  <c r="H112" i="14" s="1"/>
  <c r="H113" i="14" s="1"/>
  <c r="H114" i="14" s="1"/>
  <c r="H115" i="14" s="1"/>
  <c r="H116" i="14" s="1"/>
  <c r="H117" i="14" s="1"/>
  <c r="H118" i="14" s="1"/>
  <c r="H119" i="14" s="1"/>
  <c r="H120" i="14" s="1"/>
  <c r="H121" i="14" s="1"/>
  <c r="H122" i="14" s="1"/>
  <c r="H123" i="14" s="1"/>
  <c r="H124" i="14" s="1"/>
  <c r="H125" i="14" s="1"/>
  <c r="H126" i="14" s="1"/>
  <c r="H127" i="14" s="1"/>
  <c r="H128" i="14" s="1"/>
  <c r="H129" i="14" s="1"/>
  <c r="H130" i="14" s="1"/>
  <c r="H131" i="14" s="1"/>
  <c r="H132" i="14" s="1"/>
  <c r="H25" i="14"/>
  <c r="G25" i="14" s="1"/>
  <c r="H22" i="14"/>
  <c r="H20" i="14"/>
  <c r="H16" i="14"/>
  <c r="H17" i="14" s="1"/>
  <c r="H18" i="14" s="1"/>
  <c r="Q8" i="14"/>
  <c r="R8" i="14" s="1"/>
  <c r="Q7" i="14"/>
  <c r="R7" i="14" s="1"/>
  <c r="R6" i="14"/>
  <c r="H6" i="14"/>
  <c r="Q5" i="14"/>
  <c r="R5" i="14" s="1"/>
  <c r="S6" i="14" s="1"/>
  <c r="G5" i="14"/>
  <c r="H3" i="14"/>
  <c r="H4" i="14" s="1"/>
  <c r="B5" i="1"/>
  <c r="F25" i="1"/>
  <c r="F26" i="1" s="1"/>
  <c r="F27" i="1" s="1"/>
  <c r="F28" i="1" s="1"/>
  <c r="F29" i="1" s="1"/>
  <c r="F30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E14" i="1"/>
  <c r="B3" i="1"/>
  <c r="B4" i="1" s="1"/>
  <c r="F3" i="1"/>
  <c r="E3" i="1" s="1"/>
  <c r="O6" i="1"/>
  <c r="P6" i="1" s="1"/>
  <c r="O7" i="1"/>
  <c r="P7" i="1" s="1"/>
  <c r="O8" i="1"/>
  <c r="P8" i="1" s="1"/>
  <c r="O5" i="1"/>
  <c r="P5" i="1" s="1"/>
  <c r="C17" i="14" l="1"/>
  <c r="C21" i="14"/>
  <c r="C20" i="14"/>
  <c r="C19" i="14"/>
  <c r="C18" i="14"/>
  <c r="C16" i="14"/>
  <c r="C15" i="14"/>
  <c r="C14" i="14"/>
  <c r="C13" i="14"/>
  <c r="C12" i="14"/>
  <c r="C11" i="14"/>
  <c r="C10" i="14"/>
  <c r="H26" i="14"/>
  <c r="H27" i="14" s="1"/>
  <c r="H28" i="14" s="1"/>
  <c r="H29" i="14" s="1"/>
  <c r="H30" i="14" s="1"/>
  <c r="S5" i="14"/>
  <c r="H8" i="14"/>
  <c r="H9" i="14" s="1"/>
  <c r="H10" i="14" s="1"/>
  <c r="H11" i="14" s="1"/>
  <c r="H12" i="14" s="1"/>
  <c r="H13" i="14" s="1"/>
  <c r="G7" i="14"/>
  <c r="G3" i="14"/>
  <c r="B3" i="14" s="1"/>
  <c r="F4" i="1"/>
  <c r="F6" i="1" s="1"/>
  <c r="Q6" i="1"/>
  <c r="Q5" i="1"/>
  <c r="B4" i="14" l="1"/>
  <c r="G26" i="14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8" i="14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F7" i="1"/>
  <c r="F8" i="1" s="1"/>
  <c r="F9" i="1" s="1"/>
  <c r="F10" i="1" s="1"/>
  <c r="F11" i="1" s="1"/>
  <c r="F12" i="1" s="1"/>
  <c r="E5" i="1" l="1"/>
  <c r="F13" i="1"/>
  <c r="E7" i="1" l="1"/>
  <c r="E8" i="1" s="1"/>
  <c r="E9" i="1" s="1"/>
  <c r="E10" i="1" s="1"/>
  <c r="E11" i="1" s="1"/>
  <c r="E12" i="1" s="1"/>
  <c r="B6" i="1"/>
  <c r="B7" i="1" s="1"/>
  <c r="B8" i="1" s="1"/>
  <c r="B9" i="1" s="1"/>
  <c r="B10" i="1" s="1"/>
  <c r="B11" i="1" s="1"/>
  <c r="B12" i="1" s="1"/>
  <c r="B13" i="1" s="1"/>
  <c r="B14" i="1" s="1"/>
  <c r="E13" i="1"/>
  <c r="E15" i="1" s="1"/>
  <c r="F16" i="1"/>
  <c r="F17" i="1" s="1"/>
  <c r="F18" i="1" s="1"/>
  <c r="B15" i="1" l="1"/>
  <c r="E16" i="1"/>
  <c r="E17" i="1" s="1"/>
  <c r="E18" i="1" s="1"/>
  <c r="F20" i="1"/>
  <c r="B16" i="1" l="1"/>
  <c r="B17" i="1" s="1"/>
  <c r="B18" i="1" s="1"/>
  <c r="E19" i="1"/>
  <c r="E20" i="1" s="1"/>
  <c r="E21" i="1" s="1"/>
  <c r="F22" i="1"/>
  <c r="B19" i="1" l="1"/>
  <c r="B20" i="1" s="1"/>
  <c r="B21" i="1" s="1"/>
  <c r="E22" i="1"/>
  <c r="E23" i="1" s="1"/>
  <c r="B22" i="1" l="1"/>
  <c r="B23" i="1" s="1"/>
  <c r="B24" i="1" s="1"/>
  <c r="E25" i="1"/>
  <c r="E26" i="1" s="1"/>
  <c r="E27" i="1" s="1"/>
  <c r="B25" i="1" l="1"/>
  <c r="B26" i="1" s="1"/>
  <c r="B27" i="1" s="1"/>
  <c r="E28" i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B28" i="1" l="1"/>
  <c r="B29" i="1" s="1"/>
  <c r="B30" i="1" s="1"/>
  <c r="B31" i="1" l="1"/>
  <c r="B32" i="1" s="1"/>
  <c r="B33" i="1" s="1"/>
  <c r="B34" i="1" l="1"/>
  <c r="B35" i="1" s="1"/>
  <c r="B36" i="1" s="1"/>
  <c r="B37" i="1" l="1"/>
  <c r="B38" i="1" s="1"/>
  <c r="B39" i="1" s="1"/>
  <c r="B40" i="1" l="1"/>
  <c r="B41" i="1" s="1"/>
  <c r="B42" i="1" s="1"/>
  <c r="B43" i="1" l="1"/>
  <c r="B44" i="1" s="1"/>
  <c r="B45" i="1" s="1"/>
  <c r="B46" i="1" l="1"/>
  <c r="B47" i="1" s="1"/>
  <c r="B48" i="1" s="1"/>
  <c r="B49" i="1" l="1"/>
  <c r="B50" i="1" s="1"/>
  <c r="B51" i="1" s="1"/>
  <c r="B52" i="1" l="1"/>
  <c r="B53" i="1" s="1"/>
  <c r="B54" i="1" s="1"/>
  <c r="B55" i="1" l="1"/>
  <c r="B56" i="1" s="1"/>
  <c r="B57" i="1" s="1"/>
  <c r="B58" i="1" l="1"/>
  <c r="B59" i="1" s="1"/>
  <c r="B60" i="1" s="1"/>
  <c r="B61" i="1" l="1"/>
  <c r="B62" i="1" s="1"/>
  <c r="B63" i="1" s="1"/>
  <c r="B64" i="1" l="1"/>
  <c r="B65" i="1" s="1"/>
  <c r="B66" i="1" s="1"/>
  <c r="B67" i="1" l="1"/>
  <c r="B68" i="1" s="1"/>
  <c r="B69" i="1" s="1"/>
  <c r="B70" i="1" l="1"/>
  <c r="B71" i="1" s="1"/>
  <c r="B72" i="1" s="1"/>
  <c r="B73" i="1" l="1"/>
  <c r="B74" i="1" s="1"/>
  <c r="B75" i="1" s="1"/>
  <c r="B76" i="1" l="1"/>
  <c r="B77" i="1" s="1"/>
  <c r="B78" i="1" s="1"/>
  <c r="B79" i="1" l="1"/>
  <c r="B80" i="1" s="1"/>
  <c r="B81" i="1" s="1"/>
  <c r="B82" i="1" l="1"/>
  <c r="B83" i="1" s="1"/>
  <c r="B84" i="1" s="1"/>
  <c r="B85" i="1" l="1"/>
  <c r="B86" i="1" s="1"/>
  <c r="B87" i="1" s="1"/>
  <c r="B88" i="1" l="1"/>
  <c r="B89" i="1" s="1"/>
  <c r="B90" i="1" s="1"/>
  <c r="B91" i="1" l="1"/>
  <c r="B92" i="1" s="1"/>
  <c r="B93" i="1" s="1"/>
  <c r="B94" i="1" l="1"/>
  <c r="B95" i="1" s="1"/>
  <c r="B96" i="1" s="1"/>
  <c r="B97" i="1" l="1"/>
  <c r="B98" i="1" s="1"/>
  <c r="B99" i="1" s="1"/>
  <c r="B100" i="1" l="1"/>
  <c r="B101" i="1" s="1"/>
  <c r="B102" i="1" s="1"/>
  <c r="B103" i="1" l="1"/>
  <c r="B104" i="1" s="1"/>
  <c r="B105" i="1" s="1"/>
  <c r="B106" i="1" l="1"/>
  <c r="B107" i="1" s="1"/>
  <c r="B108" i="1" s="1"/>
  <c r="B109" i="1" l="1"/>
  <c r="B110" i="1" s="1"/>
  <c r="B111" i="1" s="1"/>
  <c r="B112" i="1" l="1"/>
  <c r="B113" i="1" s="1"/>
  <c r="B114" i="1" s="1"/>
  <c r="B115" i="1" l="1"/>
  <c r="B116" i="1" s="1"/>
  <c r="B117" i="1" s="1"/>
  <c r="B118" i="1" l="1"/>
  <c r="B119" i="1" s="1"/>
  <c r="B120" i="1" s="1"/>
  <c r="B121" i="1" l="1"/>
  <c r="B122" i="1" s="1"/>
  <c r="B123" i="1" s="1"/>
  <c r="B124" i="1" l="1"/>
  <c r="B125" i="1" s="1"/>
  <c r="B126" i="1" s="1"/>
  <c r="B127" i="1" l="1"/>
  <c r="B128" i="1" s="1"/>
  <c r="B129" i="1" s="1"/>
  <c r="B130" i="1" l="1"/>
  <c r="B131" i="1" s="1"/>
  <c r="B13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AAF4B1-48B3-4452-807E-1CD6CBF2B1FA}" keepAlive="1" name="Query - Curve Structure Brent" description="Connection to the 'Curve Structure Brent' query in the workbook." type="5" refreshedVersion="8" background="1" saveData="1">
    <dbPr connection="Provider=Microsoft.Mashup.OleDb.1;Data Source=$Workbook$;Location=&quot;Curve Structure Brent&quot;;Extended Properties=&quot;&quot;" command="SELECT * FROM [Curve Structure Brent]"/>
  </connection>
  <connection id="2" xr16:uid="{F526D67C-6DA7-49E9-B0B2-7DDDC0AD3C59}" keepAlive="1" name="Query - Curve Structure Diesel" description="Connection to the 'Curve Structure Diesel' query in the workbook." type="5" refreshedVersion="8" background="1" saveData="1">
    <dbPr connection="Provider=Microsoft.Mashup.OleDb.1;Data Source=$Workbook$;Location=&quot;Curve Structure Diesel&quot;;Extended Properties=&quot;&quot;" command="SELECT * FROM [Curve Structure Diesel]"/>
  </connection>
  <connection id="3" xr16:uid="{23C59230-2F6B-400D-A73F-186857DC19F1}" keepAlive="1" name="Query - Curve Structure Jet" description="Connection to the 'Curve Structure Jet' query in the workbook." type="5" refreshedVersion="8" background="1" saveData="1">
    <dbPr connection="Provider=Microsoft.Mashup.OleDb.1;Data Source=$Workbook$;Location=&quot;Curve Structure Jet&quot;;Extended Properties=&quot;&quot;" command="SELECT * FROM [Curve Structure Jet]"/>
  </connection>
  <connection id="4" xr16:uid="{7174AD14-A80D-439D-855E-9DE03CA30229}" keepAlive="1" name="Query - Curve Structure USDCAD" description="Connection to the 'Curve Structure USDCAD' query in the workbook." type="5" refreshedVersion="8" background="1" saveData="1">
    <dbPr connection="Provider=Microsoft.Mashup.OleDb.1;Data Source=$Workbook$;Location=&quot;Curve Structure USDCAD&quot;;Extended Properties=&quot;&quot;" command="SELECT * FROM [Curve Structure USDCAD]"/>
  </connection>
  <connection id="5" xr16:uid="{F90F94D8-210D-475B-A20A-62E73AF1F33B}" keepAlive="1" name="Query - Curve Structure WTI" description="Connection to the 'Curve Structure WTI' query in the workbook." type="5" refreshedVersion="8" background="1" saveData="1">
    <dbPr connection="Provider=Microsoft.Mashup.OleDb.1;Data Source=$Workbook$;Location=&quot;Curve Structure WTI&quot;;Extended Properties=&quot;&quot;" command="SELECT * FROM [Curve Structure WTI]"/>
  </connection>
  <connection id="6" xr16:uid="{154D84A5-EFA0-4344-9511-1260D396099E}" keepAlive="1" name="Query - Diesel" description="Connection to the 'Diesel' query in the workbook." type="5" refreshedVersion="8" background="1" saveData="1">
    <dbPr connection="Provider=Microsoft.Mashup.OleDb.1;Data Source=$Workbook$;Location=Diesel;Extended Properties=&quot;&quot;" command="SELECT * FROM [Diesel]"/>
  </connection>
  <connection id="7" xr16:uid="{E8CDEE96-0B6D-40DE-AC61-DEC9D40A882B}" keepAlive="1" name="Query - FXRates" description="Connection to the 'FXRates' query in the workbook." type="5" refreshedVersion="8" background="1" saveData="1">
    <dbPr connection="Provider=Microsoft.Mashup.OleDb.1;Data Source=$Workbook$;Location=FXRates;Extended Properties=&quot;&quot;" command="SELECT * FROM [FXRates]"/>
  </connection>
  <connection id="8" xr16:uid="{1E5A894C-1FAA-4559-BD51-182117A018A8}" keepAlive="1" name="Query - NRCAN Canaada Average" description="Connection to the 'NRCAN Canaada Average' query in the workbook." type="5" refreshedVersion="8" background="1" saveData="1">
    <dbPr connection="Provider=Microsoft.Mashup.OleDb.1;Data Source=$Workbook$;Location=&quot;NRCAN Canaada Average&quot;;Extended Properties=&quot;&quot;" command="SELECT * FROM [NRCAN Canaada Average]"/>
  </connection>
  <connection id="9" xr16:uid="{F10AA280-DE73-4782-8208-77B588FF9D90}" keepAlive="1" name="Query - Spot" description="Connection to the 'Spot' query in the workbook." type="5" refreshedVersion="8" background="1" saveData="1">
    <dbPr connection="Provider=Microsoft.Mashup.OleDb.1;Data Source=$Workbook$;Location=Spot;Extended Properties=&quot;&quot;" command="SELECT * FROM [Spot]"/>
  </connection>
  <connection id="10" xr16:uid="{5704468A-49AC-4986-B0EE-9F41AAB1A6EF}" keepAlive="1" name="Query - Spot vs Forwards" description="Connection to the 'Spot vs Forwards' query in the workbook." type="5" refreshedVersion="8" background="1" saveData="1">
    <dbPr connection="Provider=Microsoft.Mashup.OleDb.1;Data Source=$Workbook$;Location=&quot;Spot vs Forwards&quot;;Extended Properties=&quot;&quot;" command="SELECT * FROM [Spot vs Forwards]"/>
  </connection>
  <connection id="11" xr16:uid="{F682257B-1BDE-4A4A-BFDC-4A7EAEC7EA9D}" keepAlive="1" name="Query - StartDate" description="Connection to the 'StartDate' query in the workbook." type="5" refreshedVersion="8" background="1" saveData="1">
    <dbPr connection="Provider=Microsoft.Mashup.OleDb.1;Data Source=$Workbook$;Location=StartDate;Extended Properties=&quot;&quot;" command="SELECT * FROM [StartDate]"/>
  </connection>
</connections>
</file>

<file path=xl/sharedStrings.xml><?xml version="1.0" encoding="utf-8"?>
<sst xmlns="http://schemas.openxmlformats.org/spreadsheetml/2006/main" count="147" uniqueCount="44">
  <si>
    <t>published_date</t>
  </si>
  <si>
    <t>pjaau00</t>
  </si>
  <si>
    <t>aavbh00</t>
  </si>
  <si>
    <t>aatgx00</t>
  </si>
  <si>
    <t>FXRates.cad</t>
  </si>
  <si>
    <t>StartDate</t>
  </si>
  <si>
    <t>Jet Spot</t>
  </si>
  <si>
    <t>Diesel Spot</t>
  </si>
  <si>
    <t>NYH Diesel Spot</t>
  </si>
  <si>
    <t>Diesel Forward</t>
  </si>
  <si>
    <t>Jet Forward</t>
  </si>
  <si>
    <t>NYH Diesel Forward</t>
  </si>
  <si>
    <t>Diesel Spot - Fwd</t>
  </si>
  <si>
    <t>Jet Spot - Fwd</t>
  </si>
  <si>
    <t>NYH Diesel Spot - Fwd</t>
  </si>
  <si>
    <t>cad</t>
  </si>
  <si>
    <t>eur</t>
  </si>
  <si>
    <t>gbp</t>
  </si>
  <si>
    <t>pricing_date</t>
  </si>
  <si>
    <t>price</t>
  </si>
  <si>
    <t>relative_month</t>
  </si>
  <si>
    <t>volume</t>
  </si>
  <si>
    <t>open_interest</t>
  </si>
  <si>
    <t>M001</t>
  </si>
  <si>
    <t>27th Feb</t>
  </si>
  <si>
    <t>19th Mar</t>
  </si>
  <si>
    <t>10th Apr</t>
  </si>
  <si>
    <t>USDCAD 27th Feb</t>
  </si>
  <si>
    <t>USDCAD 19th Mar</t>
  </si>
  <si>
    <t>USDCAD 10th Apr</t>
  </si>
  <si>
    <t>cpl 27th Feb</t>
  </si>
  <si>
    <t>cpl 19th Mar</t>
  </si>
  <si>
    <t>cpl 10th Apr</t>
  </si>
  <si>
    <t>Amended Date</t>
  </si>
  <si>
    <t>Diesel</t>
  </si>
  <si>
    <t>Petrol</t>
  </si>
  <si>
    <t>Diesel - Petrol</t>
  </si>
  <si>
    <t>Start Price</t>
  </si>
  <si>
    <t>ppl</t>
  </si>
  <si>
    <t>Brent</t>
  </si>
  <si>
    <t>Crack</t>
  </si>
  <si>
    <t>Cpl</t>
  </si>
  <si>
    <t>Increase</t>
  </si>
  <si>
    <t>RateOfChange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</si>
</sst>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4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86F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'Curve Structure WTI'!$B$1</c:f>
              <c:strCache>
                <c:ptCount val="1"/>
                <c:pt idx="0">
                  <c:v>27th Feb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'Curve Structure WTI'!$A$2:$A$34</c:f>
              <c:numCache>
                <c:formatCode>m/d/yyyy</c:formatCode>
                <c:ptCount val="3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  <c:pt idx="24">
                  <c:v>46844</c:v>
                </c:pt>
                <c:pt idx="25">
                  <c:v>46874</c:v>
                </c:pt>
                <c:pt idx="26">
                  <c:v>46905</c:v>
                </c:pt>
                <c:pt idx="27">
                  <c:v>46935</c:v>
                </c:pt>
                <c:pt idx="28">
                  <c:v>46966</c:v>
                </c:pt>
                <c:pt idx="29">
                  <c:v>46997</c:v>
                </c:pt>
                <c:pt idx="30">
                  <c:v>47027</c:v>
                </c:pt>
                <c:pt idx="31">
                  <c:v>47058</c:v>
                </c:pt>
                <c:pt idx="32">
                  <c:v>47088</c:v>
                </c:pt>
              </c:numCache>
            </c:numRef>
          </c:cat>
          <c:val>
            <c:numRef>
              <c:f>'Curve Structure WTI'!$B$2:$B$34</c:f>
              <c:numCache>
                <c:formatCode>General</c:formatCode>
                <c:ptCount val="33"/>
                <c:pt idx="0">
                  <c:v>67.02</c:v>
                </c:pt>
                <c:pt idx="1">
                  <c:v>66.89</c:v>
                </c:pt>
                <c:pt idx="2">
                  <c:v>66.56</c:v>
                </c:pt>
                <c:pt idx="3">
                  <c:v>66.180000000000007</c:v>
                </c:pt>
                <c:pt idx="4">
                  <c:v>65.7</c:v>
                </c:pt>
                <c:pt idx="5">
                  <c:v>65.150000000000006</c:v>
                </c:pt>
                <c:pt idx="6">
                  <c:v>64.62</c:v>
                </c:pt>
                <c:pt idx="7">
                  <c:v>64.14</c:v>
                </c:pt>
                <c:pt idx="8">
                  <c:v>63.73</c:v>
                </c:pt>
                <c:pt idx="9">
                  <c:v>63.35</c:v>
                </c:pt>
                <c:pt idx="10">
                  <c:v>63.03</c:v>
                </c:pt>
                <c:pt idx="11">
                  <c:v>62.77</c:v>
                </c:pt>
                <c:pt idx="12">
                  <c:v>62.56</c:v>
                </c:pt>
                <c:pt idx="13">
                  <c:v>62.39</c:v>
                </c:pt>
                <c:pt idx="14">
                  <c:v>62.25</c:v>
                </c:pt>
                <c:pt idx="15">
                  <c:v>62.1</c:v>
                </c:pt>
                <c:pt idx="16">
                  <c:v>61.95</c:v>
                </c:pt>
                <c:pt idx="17">
                  <c:v>61.83</c:v>
                </c:pt>
                <c:pt idx="18">
                  <c:v>61.74</c:v>
                </c:pt>
                <c:pt idx="19">
                  <c:v>61.69</c:v>
                </c:pt>
                <c:pt idx="20">
                  <c:v>61.64</c:v>
                </c:pt>
                <c:pt idx="21">
                  <c:v>61.56</c:v>
                </c:pt>
                <c:pt idx="22">
                  <c:v>61.48</c:v>
                </c:pt>
                <c:pt idx="23">
                  <c:v>61.41</c:v>
                </c:pt>
                <c:pt idx="24">
                  <c:v>61.36</c:v>
                </c:pt>
                <c:pt idx="25">
                  <c:v>61.37</c:v>
                </c:pt>
                <c:pt idx="26">
                  <c:v>61.4</c:v>
                </c:pt>
                <c:pt idx="27">
                  <c:v>61.39</c:v>
                </c:pt>
                <c:pt idx="28">
                  <c:v>61.37</c:v>
                </c:pt>
                <c:pt idx="29">
                  <c:v>61.37</c:v>
                </c:pt>
                <c:pt idx="30">
                  <c:v>61.38</c:v>
                </c:pt>
                <c:pt idx="31">
                  <c:v>61.42</c:v>
                </c:pt>
                <c:pt idx="32">
                  <c:v>61.49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F-4C38-A5CD-C8DAE8C8CCA6}"/>
            </c:ext>
          </c:extLst>
        </c:ser>
        <c:ser>
          <c:idx val="1"/>
          <c:order val="1"/>
          <c:tx>
            <c:strRef>
              <c:f>'Curve Structure WTI'!$C$1</c:f>
              <c:strCache>
                <c:ptCount val="1"/>
                <c:pt idx="0">
                  <c:v>19th Mar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'Curve Structure WTI'!$A$2:$A$34</c:f>
              <c:numCache>
                <c:formatCode>m/d/yyyy</c:formatCode>
                <c:ptCount val="3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  <c:pt idx="24">
                  <c:v>46844</c:v>
                </c:pt>
                <c:pt idx="25">
                  <c:v>46874</c:v>
                </c:pt>
                <c:pt idx="26">
                  <c:v>46905</c:v>
                </c:pt>
                <c:pt idx="27">
                  <c:v>46935</c:v>
                </c:pt>
                <c:pt idx="28">
                  <c:v>46966</c:v>
                </c:pt>
                <c:pt idx="29">
                  <c:v>46997</c:v>
                </c:pt>
                <c:pt idx="30">
                  <c:v>47027</c:v>
                </c:pt>
                <c:pt idx="31">
                  <c:v>47058</c:v>
                </c:pt>
                <c:pt idx="32">
                  <c:v>47088</c:v>
                </c:pt>
              </c:numCache>
            </c:numRef>
          </c:cat>
          <c:val>
            <c:numRef>
              <c:f>'Curve Structure WTI'!$C$2:$C$34</c:f>
              <c:numCache>
                <c:formatCode>General</c:formatCode>
                <c:ptCount val="33"/>
                <c:pt idx="0">
                  <c:v>96.139999999999986</c:v>
                </c:pt>
                <c:pt idx="1">
                  <c:v>95.55</c:v>
                </c:pt>
                <c:pt idx="2">
                  <c:v>92.960000000000008</c:v>
                </c:pt>
                <c:pt idx="3">
                  <c:v>89.97</c:v>
                </c:pt>
                <c:pt idx="4">
                  <c:v>86.64</c:v>
                </c:pt>
                <c:pt idx="5">
                  <c:v>83.759999999999991</c:v>
                </c:pt>
                <c:pt idx="6">
                  <c:v>81.37</c:v>
                </c:pt>
                <c:pt idx="7">
                  <c:v>79.679999999999993</c:v>
                </c:pt>
                <c:pt idx="8">
                  <c:v>78.41</c:v>
                </c:pt>
                <c:pt idx="9">
                  <c:v>77.349999999999994</c:v>
                </c:pt>
                <c:pt idx="10">
                  <c:v>76.5</c:v>
                </c:pt>
                <c:pt idx="11">
                  <c:v>75.83</c:v>
                </c:pt>
                <c:pt idx="12">
                  <c:v>75.319999999999993</c:v>
                </c:pt>
                <c:pt idx="13">
                  <c:v>74.92</c:v>
                </c:pt>
                <c:pt idx="14">
                  <c:v>74.55</c:v>
                </c:pt>
                <c:pt idx="15">
                  <c:v>74.180000000000007</c:v>
                </c:pt>
                <c:pt idx="16">
                  <c:v>73.8</c:v>
                </c:pt>
                <c:pt idx="17">
                  <c:v>73.429999999999993</c:v>
                </c:pt>
                <c:pt idx="18">
                  <c:v>73.12</c:v>
                </c:pt>
                <c:pt idx="19">
                  <c:v>72.83</c:v>
                </c:pt>
                <c:pt idx="20">
                  <c:v>72.55</c:v>
                </c:pt>
                <c:pt idx="21">
                  <c:v>72.23</c:v>
                </c:pt>
                <c:pt idx="22">
                  <c:v>71.91</c:v>
                </c:pt>
                <c:pt idx="23">
                  <c:v>71.61</c:v>
                </c:pt>
                <c:pt idx="24">
                  <c:v>71.34</c:v>
                </c:pt>
                <c:pt idx="25">
                  <c:v>71.13</c:v>
                </c:pt>
                <c:pt idx="26">
                  <c:v>70.97</c:v>
                </c:pt>
                <c:pt idx="27">
                  <c:v>70.760000000000005</c:v>
                </c:pt>
                <c:pt idx="28">
                  <c:v>70.510000000000005</c:v>
                </c:pt>
                <c:pt idx="29">
                  <c:v>70.27</c:v>
                </c:pt>
                <c:pt idx="30">
                  <c:v>70.05</c:v>
                </c:pt>
                <c:pt idx="31">
                  <c:v>69.87</c:v>
                </c:pt>
                <c:pt idx="32">
                  <c:v>69.73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1F-4C38-A5CD-C8DAE8C8CCA6}"/>
            </c:ext>
          </c:extLst>
        </c:ser>
        <c:ser>
          <c:idx val="2"/>
          <c:order val="2"/>
          <c:tx>
            <c:strRef>
              <c:f>'Curve Structure WTI'!$D$1</c:f>
              <c:strCache>
                <c:ptCount val="1"/>
                <c:pt idx="0">
                  <c:v>10th Apr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'Curve Structure WTI'!$A$2:$A$34</c:f>
              <c:numCache>
                <c:formatCode>m/d/yyyy</c:formatCode>
                <c:ptCount val="3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  <c:pt idx="24">
                  <c:v>46844</c:v>
                </c:pt>
                <c:pt idx="25">
                  <c:v>46874</c:v>
                </c:pt>
                <c:pt idx="26">
                  <c:v>46905</c:v>
                </c:pt>
                <c:pt idx="27">
                  <c:v>46935</c:v>
                </c:pt>
                <c:pt idx="28">
                  <c:v>46966</c:v>
                </c:pt>
                <c:pt idx="29">
                  <c:v>46997</c:v>
                </c:pt>
                <c:pt idx="30">
                  <c:v>47027</c:v>
                </c:pt>
                <c:pt idx="31">
                  <c:v>47058</c:v>
                </c:pt>
                <c:pt idx="32">
                  <c:v>47088</c:v>
                </c:pt>
              </c:numCache>
            </c:numRef>
          </c:cat>
          <c:val>
            <c:numRef>
              <c:f>'Curve Structure WTI'!$D$2:$D$34</c:f>
              <c:numCache>
                <c:formatCode>General</c:formatCode>
                <c:ptCount val="33"/>
                <c:pt idx="0">
                  <c:v>96.57</c:v>
                </c:pt>
                <c:pt idx="1">
                  <c:v>89.58</c:v>
                </c:pt>
                <c:pt idx="2">
                  <c:v>84.93</c:v>
                </c:pt>
                <c:pt idx="3">
                  <c:v>81.260000000000005</c:v>
                </c:pt>
                <c:pt idx="4">
                  <c:v>79.02</c:v>
                </c:pt>
                <c:pt idx="5">
                  <c:v>77.3</c:v>
                </c:pt>
                <c:pt idx="6">
                  <c:v>76.150000000000006</c:v>
                </c:pt>
                <c:pt idx="7">
                  <c:v>75.25</c:v>
                </c:pt>
                <c:pt idx="8">
                  <c:v>74.5</c:v>
                </c:pt>
                <c:pt idx="9">
                  <c:v>73.86</c:v>
                </c:pt>
                <c:pt idx="10">
                  <c:v>73.319999999999993</c:v>
                </c:pt>
                <c:pt idx="11">
                  <c:v>72.87</c:v>
                </c:pt>
                <c:pt idx="12">
                  <c:v>72.489999999999995</c:v>
                </c:pt>
                <c:pt idx="13">
                  <c:v>72.13</c:v>
                </c:pt>
                <c:pt idx="14">
                  <c:v>71.78</c:v>
                </c:pt>
                <c:pt idx="15">
                  <c:v>71.45</c:v>
                </c:pt>
                <c:pt idx="16">
                  <c:v>71.150000000000006</c:v>
                </c:pt>
                <c:pt idx="17">
                  <c:v>70.87</c:v>
                </c:pt>
                <c:pt idx="18">
                  <c:v>70.62</c:v>
                </c:pt>
                <c:pt idx="19">
                  <c:v>70.38</c:v>
                </c:pt>
                <c:pt idx="20">
                  <c:v>70.09</c:v>
                </c:pt>
                <c:pt idx="21">
                  <c:v>69.81</c:v>
                </c:pt>
                <c:pt idx="22">
                  <c:v>69.56</c:v>
                </c:pt>
                <c:pt idx="23">
                  <c:v>69.34</c:v>
                </c:pt>
                <c:pt idx="24">
                  <c:v>69.17</c:v>
                </c:pt>
                <c:pt idx="25">
                  <c:v>69</c:v>
                </c:pt>
                <c:pt idx="26">
                  <c:v>68.790000000000006</c:v>
                </c:pt>
                <c:pt idx="27">
                  <c:v>68.569999999999993</c:v>
                </c:pt>
                <c:pt idx="28">
                  <c:v>68.349999999999994</c:v>
                </c:pt>
                <c:pt idx="29">
                  <c:v>68.150000000000006</c:v>
                </c:pt>
                <c:pt idx="30">
                  <c:v>68</c:v>
                </c:pt>
                <c:pt idx="31">
                  <c:v>67.84</c:v>
                </c:pt>
                <c:pt idx="32">
                  <c:v>67.63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1F-4C38-A5CD-C8DAE8C8C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568159"/>
        <c:axId val="1747560479"/>
      </c:lineChart>
      <c:dateAx>
        <c:axId val="1747568159"/>
        <c:scaling>
          <c:orientation val="minMax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747560479"/>
        <c:crosses val="autoZero"/>
        <c:auto val="0"/>
        <c:lblOffset val="100"/>
        <c:baseTimeUnit val="months"/>
        <c:majorUnit val="3"/>
        <c:majorTimeUnit val="months"/>
      </c:dateAx>
      <c:valAx>
        <c:axId val="1747560479"/>
        <c:scaling>
          <c:orientation val="minMax"/>
          <c:max val="98"/>
          <c:min val="6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7475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199006289218381"/>
          <c:y val="0.13557494725859864"/>
          <c:w val="0.46581125682045854"/>
          <c:h val="6.441587374543214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'NRCAN Canaada Average'!$B$1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'NRCAN Canaada Average'!$A$2:$A$72</c:f>
              <c:numCache>
                <c:formatCode>m/d/yyyy</c:formatCode>
                <c:ptCount val="71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46070</c:v>
                </c:pt>
                <c:pt idx="32">
                  <c:v>46071</c:v>
                </c:pt>
                <c:pt idx="33">
                  <c:v>46072</c:v>
                </c:pt>
                <c:pt idx="34">
                  <c:v>46073</c:v>
                </c:pt>
                <c:pt idx="35">
                  <c:v>46076</c:v>
                </c:pt>
                <c:pt idx="36">
                  <c:v>46077</c:v>
                </c:pt>
                <c:pt idx="37">
                  <c:v>46078</c:v>
                </c:pt>
                <c:pt idx="38">
                  <c:v>46079</c:v>
                </c:pt>
                <c:pt idx="39">
                  <c:v>46080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46090</c:v>
                </c:pt>
                <c:pt idx="46">
                  <c:v>46091</c:v>
                </c:pt>
                <c:pt idx="47">
                  <c:v>46092</c:v>
                </c:pt>
                <c:pt idx="48">
                  <c:v>46093</c:v>
                </c:pt>
                <c:pt idx="49">
                  <c:v>46094</c:v>
                </c:pt>
                <c:pt idx="50">
                  <c:v>46097</c:v>
                </c:pt>
                <c:pt idx="51">
                  <c:v>46098</c:v>
                </c:pt>
                <c:pt idx="52">
                  <c:v>46099</c:v>
                </c:pt>
                <c:pt idx="53">
                  <c:v>46100</c:v>
                </c:pt>
                <c:pt idx="54">
                  <c:v>46101</c:v>
                </c:pt>
                <c:pt idx="55">
                  <c:v>46104</c:v>
                </c:pt>
                <c:pt idx="56">
                  <c:v>46105</c:v>
                </c:pt>
                <c:pt idx="57">
                  <c:v>46106</c:v>
                </c:pt>
                <c:pt idx="58">
                  <c:v>46107</c:v>
                </c:pt>
                <c:pt idx="59">
                  <c:v>46108</c:v>
                </c:pt>
                <c:pt idx="60">
                  <c:v>46111</c:v>
                </c:pt>
                <c:pt idx="61">
                  <c:v>46112</c:v>
                </c:pt>
                <c:pt idx="62">
                  <c:v>46113</c:v>
                </c:pt>
                <c:pt idx="63">
                  <c:v>46114</c:v>
                </c:pt>
                <c:pt idx="64">
                  <c:v>46115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46125</c:v>
                </c:pt>
              </c:numCache>
            </c:numRef>
          </c:cat>
          <c:val>
            <c:numRef>
              <c:f>'NRCAN Canaada Average'!$B$2:$B$72</c:f>
              <c:numCache>
                <c:formatCode>General</c:formatCode>
                <c:ptCount val="71"/>
                <c:pt idx="0">
                  <c:v>105</c:v>
                </c:pt>
                <c:pt idx="1">
                  <c:v>106.1</c:v>
                </c:pt>
                <c:pt idx="2">
                  <c:v>106.8</c:v>
                </c:pt>
                <c:pt idx="3">
                  <c:v>104.6</c:v>
                </c:pt>
                <c:pt idx="4">
                  <c:v>103.8</c:v>
                </c:pt>
                <c:pt idx="5">
                  <c:v>106.1</c:v>
                </c:pt>
                <c:pt idx="6">
                  <c:v>107</c:v>
                </c:pt>
                <c:pt idx="7">
                  <c:v>107.8</c:v>
                </c:pt>
                <c:pt idx="8">
                  <c:v>110.8</c:v>
                </c:pt>
                <c:pt idx="9">
                  <c:v>112.4</c:v>
                </c:pt>
                <c:pt idx="10">
                  <c:v>110.1</c:v>
                </c:pt>
                <c:pt idx="11">
                  <c:v>111.4</c:v>
                </c:pt>
                <c:pt idx="12">
                  <c:v>111.1</c:v>
                </c:pt>
                <c:pt idx="13">
                  <c:v>114.3</c:v>
                </c:pt>
                <c:pt idx="14">
                  <c:v>118</c:v>
                </c:pt>
                <c:pt idx="15">
                  <c:v>115.8</c:v>
                </c:pt>
                <c:pt idx="16">
                  <c:v>117.6</c:v>
                </c:pt>
                <c:pt idx="17">
                  <c:v>120</c:v>
                </c:pt>
                <c:pt idx="18">
                  <c:v>121.9</c:v>
                </c:pt>
                <c:pt idx="19">
                  <c:v>122.8</c:v>
                </c:pt>
                <c:pt idx="20">
                  <c:v>121.4</c:v>
                </c:pt>
                <c:pt idx="21">
                  <c:v>125.3</c:v>
                </c:pt>
                <c:pt idx="22">
                  <c:v>120</c:v>
                </c:pt>
                <c:pt idx="23">
                  <c:v>121.6</c:v>
                </c:pt>
                <c:pt idx="24">
                  <c:v>124.2</c:v>
                </c:pt>
                <c:pt idx="25">
                  <c:v>121.6</c:v>
                </c:pt>
                <c:pt idx="26">
                  <c:v>121.3</c:v>
                </c:pt>
                <c:pt idx="27">
                  <c:v>121.1</c:v>
                </c:pt>
                <c:pt idx="28">
                  <c:v>120.4</c:v>
                </c:pt>
                <c:pt idx="29">
                  <c:v>120.9</c:v>
                </c:pt>
                <c:pt idx="30">
                  <c:v>119.7</c:v>
                </c:pt>
                <c:pt idx="31">
                  <c:v>119.1</c:v>
                </c:pt>
                <c:pt idx="32">
                  <c:v>119.1</c:v>
                </c:pt>
                <c:pt idx="33">
                  <c:v>124.2</c:v>
                </c:pt>
                <c:pt idx="34">
                  <c:v>126.8</c:v>
                </c:pt>
                <c:pt idx="35">
                  <c:v>125.2</c:v>
                </c:pt>
                <c:pt idx="36">
                  <c:v>127.6</c:v>
                </c:pt>
                <c:pt idx="37">
                  <c:v>126.4</c:v>
                </c:pt>
                <c:pt idx="38">
                  <c:v>125.5</c:v>
                </c:pt>
                <c:pt idx="39">
                  <c:v>125.5</c:v>
                </c:pt>
                <c:pt idx="40">
                  <c:v>127.1</c:v>
                </c:pt>
                <c:pt idx="41">
                  <c:v>137.80000000000001</c:v>
                </c:pt>
                <c:pt idx="42">
                  <c:v>147.9</c:v>
                </c:pt>
                <c:pt idx="43">
                  <c:v>151.19999999999999</c:v>
                </c:pt>
                <c:pt idx="44">
                  <c:v>163</c:v>
                </c:pt>
                <c:pt idx="45">
                  <c:v>161.69999999999999</c:v>
                </c:pt>
                <c:pt idx="46">
                  <c:v>160.30000000000001</c:v>
                </c:pt>
                <c:pt idx="47">
                  <c:v>151.30000000000001</c:v>
                </c:pt>
                <c:pt idx="48">
                  <c:v>162</c:v>
                </c:pt>
                <c:pt idx="49">
                  <c:v>168.4</c:v>
                </c:pt>
                <c:pt idx="50">
                  <c:v>173.2</c:v>
                </c:pt>
                <c:pt idx="51">
                  <c:v>164</c:v>
                </c:pt>
                <c:pt idx="52">
                  <c:v>169.9</c:v>
                </c:pt>
                <c:pt idx="53">
                  <c:v>176.3</c:v>
                </c:pt>
                <c:pt idx="54">
                  <c:v>181.1</c:v>
                </c:pt>
                <c:pt idx="55">
                  <c:v>190.6</c:v>
                </c:pt>
                <c:pt idx="56">
                  <c:v>170.5</c:v>
                </c:pt>
                <c:pt idx="57">
                  <c:v>179.9</c:v>
                </c:pt>
                <c:pt idx="58">
                  <c:v>170.5</c:v>
                </c:pt>
                <c:pt idx="59">
                  <c:v>179.7</c:v>
                </c:pt>
                <c:pt idx="60">
                  <c:v>187.2</c:v>
                </c:pt>
                <c:pt idx="61">
                  <c:v>185.6</c:v>
                </c:pt>
                <c:pt idx="62">
                  <c:v>180.2</c:v>
                </c:pt>
                <c:pt idx="63">
                  <c:v>177.5</c:v>
                </c:pt>
                <c:pt idx="64">
                  <c:v>177.5</c:v>
                </c:pt>
                <c:pt idx="65">
                  <c:v>188.7</c:v>
                </c:pt>
                <c:pt idx="66">
                  <c:v>188.6</c:v>
                </c:pt>
                <c:pt idx="67">
                  <c:v>195.7</c:v>
                </c:pt>
                <c:pt idx="68">
                  <c:v>171.5</c:v>
                </c:pt>
                <c:pt idx="69">
                  <c:v>175.2</c:v>
                </c:pt>
                <c:pt idx="70">
                  <c:v>169.8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2-4531-B171-6C0F9701F519}"/>
            </c:ext>
          </c:extLst>
        </c:ser>
        <c:ser>
          <c:idx val="1"/>
          <c:order val="1"/>
          <c:tx>
            <c:strRef>
              <c:f>'NRCAN Canaada Average'!$C$1</c:f>
              <c:strCache>
                <c:ptCount val="1"/>
                <c:pt idx="0">
                  <c:v>Petrol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'NRCAN Canaada Average'!$A$2:$A$72</c:f>
              <c:numCache>
                <c:formatCode>m/d/yyyy</c:formatCode>
                <c:ptCount val="71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46070</c:v>
                </c:pt>
                <c:pt idx="32">
                  <c:v>46071</c:v>
                </c:pt>
                <c:pt idx="33">
                  <c:v>46072</c:v>
                </c:pt>
                <c:pt idx="34">
                  <c:v>46073</c:v>
                </c:pt>
                <c:pt idx="35">
                  <c:v>46076</c:v>
                </c:pt>
                <c:pt idx="36">
                  <c:v>46077</c:v>
                </c:pt>
                <c:pt idx="37">
                  <c:v>46078</c:v>
                </c:pt>
                <c:pt idx="38">
                  <c:v>46079</c:v>
                </c:pt>
                <c:pt idx="39">
                  <c:v>46080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46090</c:v>
                </c:pt>
                <c:pt idx="46">
                  <c:v>46091</c:v>
                </c:pt>
                <c:pt idx="47">
                  <c:v>46092</c:v>
                </c:pt>
                <c:pt idx="48">
                  <c:v>46093</c:v>
                </c:pt>
                <c:pt idx="49">
                  <c:v>46094</c:v>
                </c:pt>
                <c:pt idx="50">
                  <c:v>46097</c:v>
                </c:pt>
                <c:pt idx="51">
                  <c:v>46098</c:v>
                </c:pt>
                <c:pt idx="52">
                  <c:v>46099</c:v>
                </c:pt>
                <c:pt idx="53">
                  <c:v>46100</c:v>
                </c:pt>
                <c:pt idx="54">
                  <c:v>46101</c:v>
                </c:pt>
                <c:pt idx="55">
                  <c:v>46104</c:v>
                </c:pt>
                <c:pt idx="56">
                  <c:v>46105</c:v>
                </c:pt>
                <c:pt idx="57">
                  <c:v>46106</c:v>
                </c:pt>
                <c:pt idx="58">
                  <c:v>46107</c:v>
                </c:pt>
                <c:pt idx="59">
                  <c:v>46108</c:v>
                </c:pt>
                <c:pt idx="60">
                  <c:v>46111</c:v>
                </c:pt>
                <c:pt idx="61">
                  <c:v>46112</c:v>
                </c:pt>
                <c:pt idx="62">
                  <c:v>46113</c:v>
                </c:pt>
                <c:pt idx="63">
                  <c:v>46114</c:v>
                </c:pt>
                <c:pt idx="64">
                  <c:v>46115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46125</c:v>
                </c:pt>
              </c:numCache>
            </c:numRef>
          </c:cat>
          <c:val>
            <c:numRef>
              <c:f>'NRCAN Canaada Average'!$C$2:$C$72</c:f>
              <c:numCache>
                <c:formatCode>General</c:formatCode>
                <c:ptCount val="71"/>
                <c:pt idx="0">
                  <c:v>81.400000000000006</c:v>
                </c:pt>
                <c:pt idx="1">
                  <c:v>81.7</c:v>
                </c:pt>
                <c:pt idx="2">
                  <c:v>82.4</c:v>
                </c:pt>
                <c:pt idx="3">
                  <c:v>82.1</c:v>
                </c:pt>
                <c:pt idx="4">
                  <c:v>82.1</c:v>
                </c:pt>
                <c:pt idx="5">
                  <c:v>84.9</c:v>
                </c:pt>
                <c:pt idx="6">
                  <c:v>85.9</c:v>
                </c:pt>
                <c:pt idx="7">
                  <c:v>86.3</c:v>
                </c:pt>
                <c:pt idx="8">
                  <c:v>87.4</c:v>
                </c:pt>
                <c:pt idx="9">
                  <c:v>87.6</c:v>
                </c:pt>
                <c:pt idx="10">
                  <c:v>85.8</c:v>
                </c:pt>
                <c:pt idx="11">
                  <c:v>85.7</c:v>
                </c:pt>
                <c:pt idx="12">
                  <c:v>85.4</c:v>
                </c:pt>
                <c:pt idx="13">
                  <c:v>86.6</c:v>
                </c:pt>
                <c:pt idx="14">
                  <c:v>87.8</c:v>
                </c:pt>
                <c:pt idx="15">
                  <c:v>86.1</c:v>
                </c:pt>
                <c:pt idx="16">
                  <c:v>87.1</c:v>
                </c:pt>
                <c:pt idx="17">
                  <c:v>86.1</c:v>
                </c:pt>
                <c:pt idx="18">
                  <c:v>87.2</c:v>
                </c:pt>
                <c:pt idx="19">
                  <c:v>88</c:v>
                </c:pt>
                <c:pt idx="20">
                  <c:v>88.8</c:v>
                </c:pt>
                <c:pt idx="21">
                  <c:v>88.9</c:v>
                </c:pt>
                <c:pt idx="22">
                  <c:v>86.6</c:v>
                </c:pt>
                <c:pt idx="23">
                  <c:v>88.4</c:v>
                </c:pt>
                <c:pt idx="24">
                  <c:v>91</c:v>
                </c:pt>
                <c:pt idx="25">
                  <c:v>89.8</c:v>
                </c:pt>
                <c:pt idx="26">
                  <c:v>90.9</c:v>
                </c:pt>
                <c:pt idx="27">
                  <c:v>90.9</c:v>
                </c:pt>
                <c:pt idx="28">
                  <c:v>90</c:v>
                </c:pt>
                <c:pt idx="29">
                  <c:v>91.1</c:v>
                </c:pt>
                <c:pt idx="30">
                  <c:v>89.7</c:v>
                </c:pt>
                <c:pt idx="31">
                  <c:v>89.1</c:v>
                </c:pt>
                <c:pt idx="32">
                  <c:v>89.3</c:v>
                </c:pt>
                <c:pt idx="33">
                  <c:v>92.9</c:v>
                </c:pt>
                <c:pt idx="34">
                  <c:v>94.8</c:v>
                </c:pt>
                <c:pt idx="35">
                  <c:v>92.9</c:v>
                </c:pt>
                <c:pt idx="36">
                  <c:v>92.2</c:v>
                </c:pt>
                <c:pt idx="37">
                  <c:v>91.4</c:v>
                </c:pt>
                <c:pt idx="38">
                  <c:v>93.8</c:v>
                </c:pt>
                <c:pt idx="39">
                  <c:v>94.7</c:v>
                </c:pt>
                <c:pt idx="40">
                  <c:v>95.5</c:v>
                </c:pt>
                <c:pt idx="41">
                  <c:v>100.4</c:v>
                </c:pt>
                <c:pt idx="42">
                  <c:v>103.5</c:v>
                </c:pt>
                <c:pt idx="43">
                  <c:v>105.2</c:v>
                </c:pt>
                <c:pt idx="44">
                  <c:v>110.7</c:v>
                </c:pt>
                <c:pt idx="45">
                  <c:v>112.8</c:v>
                </c:pt>
                <c:pt idx="46">
                  <c:v>114.8</c:v>
                </c:pt>
                <c:pt idx="47">
                  <c:v>108.9</c:v>
                </c:pt>
                <c:pt idx="48">
                  <c:v>114</c:v>
                </c:pt>
                <c:pt idx="49">
                  <c:v>120.3</c:v>
                </c:pt>
                <c:pt idx="50">
                  <c:v>124</c:v>
                </c:pt>
                <c:pt idx="51">
                  <c:v>122.4</c:v>
                </c:pt>
                <c:pt idx="52">
                  <c:v>126.4</c:v>
                </c:pt>
                <c:pt idx="53">
                  <c:v>125.1</c:v>
                </c:pt>
                <c:pt idx="54">
                  <c:v>125.7</c:v>
                </c:pt>
                <c:pt idx="55">
                  <c:v>131.5</c:v>
                </c:pt>
                <c:pt idx="56">
                  <c:v>120.7</c:v>
                </c:pt>
                <c:pt idx="57">
                  <c:v>127.3</c:v>
                </c:pt>
                <c:pt idx="58">
                  <c:v>121.5</c:v>
                </c:pt>
                <c:pt idx="59">
                  <c:v>126.7</c:v>
                </c:pt>
                <c:pt idx="60">
                  <c:v>131</c:v>
                </c:pt>
                <c:pt idx="61">
                  <c:v>134.30000000000001</c:v>
                </c:pt>
                <c:pt idx="62">
                  <c:v>134.69999999999999</c:v>
                </c:pt>
                <c:pt idx="63">
                  <c:v>130</c:v>
                </c:pt>
                <c:pt idx="64">
                  <c:v>130</c:v>
                </c:pt>
                <c:pt idx="65">
                  <c:v>137.5</c:v>
                </c:pt>
                <c:pt idx="66">
                  <c:v>137.5</c:v>
                </c:pt>
                <c:pt idx="67">
                  <c:v>138.6</c:v>
                </c:pt>
                <c:pt idx="68">
                  <c:v>127</c:v>
                </c:pt>
                <c:pt idx="69">
                  <c:v>126.6</c:v>
                </c:pt>
                <c:pt idx="70">
                  <c:v>128.1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D2-4531-B171-6C0F9701F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361520"/>
        <c:axId val="1059361040"/>
      </c:lineChart>
      <c:lineChart>
        <c:grouping val="standard"/>
        <c:varyColors val="0"/>
        <c:ser>
          <c:idx val="2"/>
          <c:order val="2"/>
          <c:tx>
            <c:strRef>
              <c:f>'NRCAN Canaada Average'!$D$1</c:f>
              <c:strCache>
                <c:ptCount val="1"/>
                <c:pt idx="0">
                  <c:v>Diesel - Petrol</c:v>
                </c:pt>
              </c:strCache>
            </c:strRef>
          </c:tx>
          <c:spPr>
            <a:ln w="28575" cap="rnd">
              <a:solidFill>
                <a:srgbClr val="86FC99"/>
              </a:solidFill>
              <a:round/>
            </a:ln>
            <a:effectLst/>
          </c:spPr>
          <c:marker>
            <c:symbol val="none"/>
          </c:marker>
          <c:cat>
            <c:numRef>
              <c:f>'NRCAN Canaada Average'!$A$2:$A$72</c:f>
              <c:numCache>
                <c:formatCode>m/d/yyyy</c:formatCode>
                <c:ptCount val="71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46070</c:v>
                </c:pt>
                <c:pt idx="32">
                  <c:v>46071</c:v>
                </c:pt>
                <c:pt idx="33">
                  <c:v>46072</c:v>
                </c:pt>
                <c:pt idx="34">
                  <c:v>46073</c:v>
                </c:pt>
                <c:pt idx="35">
                  <c:v>46076</c:v>
                </c:pt>
                <c:pt idx="36">
                  <c:v>46077</c:v>
                </c:pt>
                <c:pt idx="37">
                  <c:v>46078</c:v>
                </c:pt>
                <c:pt idx="38">
                  <c:v>46079</c:v>
                </c:pt>
                <c:pt idx="39">
                  <c:v>46080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46090</c:v>
                </c:pt>
                <c:pt idx="46">
                  <c:v>46091</c:v>
                </c:pt>
                <c:pt idx="47">
                  <c:v>46092</c:v>
                </c:pt>
                <c:pt idx="48">
                  <c:v>46093</c:v>
                </c:pt>
                <c:pt idx="49">
                  <c:v>46094</c:v>
                </c:pt>
                <c:pt idx="50">
                  <c:v>46097</c:v>
                </c:pt>
                <c:pt idx="51">
                  <c:v>46098</c:v>
                </c:pt>
                <c:pt idx="52">
                  <c:v>46099</c:v>
                </c:pt>
                <c:pt idx="53">
                  <c:v>46100</c:v>
                </c:pt>
                <c:pt idx="54">
                  <c:v>46101</c:v>
                </c:pt>
                <c:pt idx="55">
                  <c:v>46104</c:v>
                </c:pt>
                <c:pt idx="56">
                  <c:v>46105</c:v>
                </c:pt>
                <c:pt idx="57">
                  <c:v>46106</c:v>
                </c:pt>
                <c:pt idx="58">
                  <c:v>46107</c:v>
                </c:pt>
                <c:pt idx="59">
                  <c:v>46108</c:v>
                </c:pt>
                <c:pt idx="60">
                  <c:v>46111</c:v>
                </c:pt>
                <c:pt idx="61">
                  <c:v>46112</c:v>
                </c:pt>
                <c:pt idx="62">
                  <c:v>46113</c:v>
                </c:pt>
                <c:pt idx="63">
                  <c:v>46114</c:v>
                </c:pt>
                <c:pt idx="64">
                  <c:v>46115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46125</c:v>
                </c:pt>
              </c:numCache>
            </c:numRef>
          </c:cat>
          <c:val>
            <c:numRef>
              <c:f>'NRCAN Canaada Average'!$D$2:$D$72</c:f>
              <c:numCache>
                <c:formatCode>General</c:formatCode>
                <c:ptCount val="71"/>
                <c:pt idx="0">
                  <c:v>23.599999999999994</c:v>
                </c:pt>
                <c:pt idx="1">
                  <c:v>24.399999999999991</c:v>
                </c:pt>
                <c:pt idx="2">
                  <c:v>24.399999999999991</c:v>
                </c:pt>
                <c:pt idx="3">
                  <c:v>22.5</c:v>
                </c:pt>
                <c:pt idx="4">
                  <c:v>21.700000000000003</c:v>
                </c:pt>
                <c:pt idx="5">
                  <c:v>21.199999999999989</c:v>
                </c:pt>
                <c:pt idx="6">
                  <c:v>21.099999999999994</c:v>
                </c:pt>
                <c:pt idx="7">
                  <c:v>21.5</c:v>
                </c:pt>
                <c:pt idx="8">
                  <c:v>23.399999999999991</c:v>
                </c:pt>
                <c:pt idx="9">
                  <c:v>24.800000000000011</c:v>
                </c:pt>
                <c:pt idx="10">
                  <c:v>24.299999999999997</c:v>
                </c:pt>
                <c:pt idx="11">
                  <c:v>25.700000000000003</c:v>
                </c:pt>
                <c:pt idx="12">
                  <c:v>25.699999999999989</c:v>
                </c:pt>
                <c:pt idx="13">
                  <c:v>27.700000000000003</c:v>
                </c:pt>
                <c:pt idx="14">
                  <c:v>30.200000000000003</c:v>
                </c:pt>
                <c:pt idx="15">
                  <c:v>29.700000000000003</c:v>
                </c:pt>
                <c:pt idx="16">
                  <c:v>30.5</c:v>
                </c:pt>
                <c:pt idx="17">
                  <c:v>33.900000000000006</c:v>
                </c:pt>
                <c:pt idx="18">
                  <c:v>34.700000000000003</c:v>
                </c:pt>
                <c:pt idx="19">
                  <c:v>34.799999999999997</c:v>
                </c:pt>
                <c:pt idx="20">
                  <c:v>32.600000000000009</c:v>
                </c:pt>
                <c:pt idx="21">
                  <c:v>36.399999999999991</c:v>
                </c:pt>
                <c:pt idx="22">
                  <c:v>33.400000000000006</c:v>
                </c:pt>
                <c:pt idx="23">
                  <c:v>33.199999999999989</c:v>
                </c:pt>
                <c:pt idx="24">
                  <c:v>33.200000000000003</c:v>
                </c:pt>
                <c:pt idx="25">
                  <c:v>31.799999999999997</c:v>
                </c:pt>
                <c:pt idx="26">
                  <c:v>30.399999999999991</c:v>
                </c:pt>
                <c:pt idx="27">
                  <c:v>30.199999999999989</c:v>
                </c:pt>
                <c:pt idx="28">
                  <c:v>30.400000000000006</c:v>
                </c:pt>
                <c:pt idx="29">
                  <c:v>29.800000000000011</c:v>
                </c:pt>
                <c:pt idx="30">
                  <c:v>30</c:v>
                </c:pt>
                <c:pt idx="31">
                  <c:v>30</c:v>
                </c:pt>
                <c:pt idx="32">
                  <c:v>29.799999999999997</c:v>
                </c:pt>
                <c:pt idx="33">
                  <c:v>31.299999999999997</c:v>
                </c:pt>
                <c:pt idx="34">
                  <c:v>32</c:v>
                </c:pt>
                <c:pt idx="35">
                  <c:v>32.299999999999997</c:v>
                </c:pt>
                <c:pt idx="36">
                  <c:v>35.399999999999991</c:v>
                </c:pt>
                <c:pt idx="37">
                  <c:v>35</c:v>
                </c:pt>
                <c:pt idx="38">
                  <c:v>31.700000000000003</c:v>
                </c:pt>
                <c:pt idx="39">
                  <c:v>30.799999999999997</c:v>
                </c:pt>
                <c:pt idx="40">
                  <c:v>31.599999999999994</c:v>
                </c:pt>
                <c:pt idx="41">
                  <c:v>37.400000000000006</c:v>
                </c:pt>
                <c:pt idx="42">
                  <c:v>44.400000000000006</c:v>
                </c:pt>
                <c:pt idx="43">
                  <c:v>45.999999999999986</c:v>
                </c:pt>
                <c:pt idx="44">
                  <c:v>52.3</c:v>
                </c:pt>
                <c:pt idx="45">
                  <c:v>48.899999999999991</c:v>
                </c:pt>
                <c:pt idx="46">
                  <c:v>45.500000000000014</c:v>
                </c:pt>
                <c:pt idx="47">
                  <c:v>42.400000000000006</c:v>
                </c:pt>
                <c:pt idx="48">
                  <c:v>48</c:v>
                </c:pt>
                <c:pt idx="49">
                  <c:v>48.100000000000009</c:v>
                </c:pt>
                <c:pt idx="50">
                  <c:v>49.199999999999989</c:v>
                </c:pt>
                <c:pt idx="51">
                  <c:v>41.599999999999994</c:v>
                </c:pt>
                <c:pt idx="52">
                  <c:v>43.5</c:v>
                </c:pt>
                <c:pt idx="53">
                  <c:v>51.200000000000017</c:v>
                </c:pt>
                <c:pt idx="54">
                  <c:v>55.399999999999991</c:v>
                </c:pt>
                <c:pt idx="55">
                  <c:v>59.099999999999994</c:v>
                </c:pt>
                <c:pt idx="56">
                  <c:v>49.8</c:v>
                </c:pt>
                <c:pt idx="57">
                  <c:v>52.600000000000009</c:v>
                </c:pt>
                <c:pt idx="58">
                  <c:v>49</c:v>
                </c:pt>
                <c:pt idx="59">
                  <c:v>52.999999999999986</c:v>
                </c:pt>
                <c:pt idx="60">
                  <c:v>56.199999999999989</c:v>
                </c:pt>
                <c:pt idx="61">
                  <c:v>51.299999999999983</c:v>
                </c:pt>
                <c:pt idx="62">
                  <c:v>45.5</c:v>
                </c:pt>
                <c:pt idx="63">
                  <c:v>47.5</c:v>
                </c:pt>
                <c:pt idx="64">
                  <c:v>47.5</c:v>
                </c:pt>
                <c:pt idx="65">
                  <c:v>51.199999999999989</c:v>
                </c:pt>
                <c:pt idx="66">
                  <c:v>51.099999999999994</c:v>
                </c:pt>
                <c:pt idx="67">
                  <c:v>57.099999999999994</c:v>
                </c:pt>
                <c:pt idx="68">
                  <c:v>44.5</c:v>
                </c:pt>
                <c:pt idx="69">
                  <c:v>48.599999999999994</c:v>
                </c:pt>
                <c:pt idx="70">
                  <c:v>41.700000000000017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D2-4531-B171-6C0F9701F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1856400"/>
        <c:axId val="1941857360"/>
      </c:lineChart>
      <c:dateAx>
        <c:axId val="1059361520"/>
        <c:scaling>
          <c:orientation val="minMax"/>
          <c:min val="46023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059361040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1059361040"/>
        <c:scaling>
          <c:orientation val="minMax"/>
          <c:max val="200"/>
          <c:min val="8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\ \c\p\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059361520"/>
        <c:crosses val="autoZero"/>
        <c:crossBetween val="between"/>
      </c:valAx>
      <c:valAx>
        <c:axId val="1941857360"/>
        <c:scaling>
          <c:orientation val="minMax"/>
          <c:max val="60"/>
          <c:min val="20"/>
        </c:scaling>
        <c:delete val="0"/>
        <c:axPos val="r"/>
        <c:numFmt formatCode="#,##0\ \c\p\l" sourceLinked="0"/>
        <c:majorTickMark val="out"/>
        <c:minorTickMark val="none"/>
        <c:tickLblPos val="nextTo"/>
        <c:spPr>
          <a:noFill/>
          <a:ln>
            <a:solidFill>
              <a:srgbClr val="86FC9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6FC99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941856400"/>
        <c:crosses val="max"/>
        <c:crossBetween val="between"/>
        <c:majorUnit val="10"/>
      </c:valAx>
      <c:dateAx>
        <c:axId val="19418564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418573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451091169994742E-2"/>
          <c:y val="8.2492297607869663E-2"/>
          <c:w val="0.62247125124397029"/>
          <c:h val="4.310702338982559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6"/>
          <c:order val="0"/>
          <c:tx>
            <c:v>27th Feb</c:v>
          </c:tx>
          <c:spPr>
            <a:ln w="15875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numRef>
              <c:f>'Curve Structure Diesel'!$A$2:$A$38</c:f>
              <c:numCache>
                <c:formatCode>m/d/yyyy</c:formatCode>
                <c:ptCount val="37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46327</c:v>
                </c:pt>
                <c:pt idx="9">
                  <c:v>46357</c:v>
                </c:pt>
                <c:pt idx="10">
                  <c:v>46388</c:v>
                </c:pt>
                <c:pt idx="11">
                  <c:v>46419</c:v>
                </c:pt>
                <c:pt idx="12">
                  <c:v>46447</c:v>
                </c:pt>
                <c:pt idx="13">
                  <c:v>46478</c:v>
                </c:pt>
                <c:pt idx="14">
                  <c:v>46508</c:v>
                </c:pt>
                <c:pt idx="15">
                  <c:v>46539</c:v>
                </c:pt>
                <c:pt idx="16">
                  <c:v>46569</c:v>
                </c:pt>
                <c:pt idx="17">
                  <c:v>46600</c:v>
                </c:pt>
                <c:pt idx="18">
                  <c:v>46631</c:v>
                </c:pt>
                <c:pt idx="19">
                  <c:v>46661</c:v>
                </c:pt>
                <c:pt idx="20">
                  <c:v>46692</c:v>
                </c:pt>
                <c:pt idx="21">
                  <c:v>46722</c:v>
                </c:pt>
                <c:pt idx="22">
                  <c:v>46753</c:v>
                </c:pt>
                <c:pt idx="23">
                  <c:v>46784</c:v>
                </c:pt>
                <c:pt idx="24">
                  <c:v>46813</c:v>
                </c:pt>
                <c:pt idx="25">
                  <c:v>46844</c:v>
                </c:pt>
                <c:pt idx="26">
                  <c:v>46874</c:v>
                </c:pt>
                <c:pt idx="27">
                  <c:v>46905</c:v>
                </c:pt>
                <c:pt idx="28">
                  <c:v>46935</c:v>
                </c:pt>
                <c:pt idx="29">
                  <c:v>46966</c:v>
                </c:pt>
                <c:pt idx="30">
                  <c:v>46997</c:v>
                </c:pt>
                <c:pt idx="31">
                  <c:v>47027</c:v>
                </c:pt>
                <c:pt idx="32">
                  <c:v>47058</c:v>
                </c:pt>
                <c:pt idx="33">
                  <c:v>47088</c:v>
                </c:pt>
                <c:pt idx="34">
                  <c:v>47119</c:v>
                </c:pt>
                <c:pt idx="35">
                  <c:v>47150</c:v>
                </c:pt>
                <c:pt idx="36">
                  <c:v>47178</c:v>
                </c:pt>
              </c:numCache>
            </c:numRef>
          </c:cat>
          <c:val>
            <c:numRef>
              <c:f>'Curve Structure Diesel'!$H$2:$H$38</c:f>
              <c:numCache>
                <c:formatCode>General</c:formatCode>
                <c:ptCount val="37"/>
                <c:pt idx="0">
                  <c:v>86.778776204564664</c:v>
                </c:pt>
                <c:pt idx="1">
                  <c:v>85.55629298393913</c:v>
                </c:pt>
                <c:pt idx="2">
                  <c:v>83.659302197802191</c:v>
                </c:pt>
                <c:pt idx="3">
                  <c:v>82.008301775147928</c:v>
                </c:pt>
                <c:pt idx="4">
                  <c:v>80.835568681318676</c:v>
                </c:pt>
                <c:pt idx="5">
                  <c:v>79.921177303465768</c:v>
                </c:pt>
                <c:pt idx="6">
                  <c:v>79.307201183431957</c:v>
                </c:pt>
                <c:pt idx="7">
                  <c:v>78.876973795435347</c:v>
                </c:pt>
                <c:pt idx="8">
                  <c:v>77.995944209636519</c:v>
                </c:pt>
                <c:pt idx="9">
                  <c:v>76.92434467455621</c:v>
                </c:pt>
                <c:pt idx="10">
                  <c:v>76.335081783601012</c:v>
                </c:pt>
                <c:pt idx="11">
                  <c:v>75.907194843617916</c:v>
                </c:pt>
                <c:pt idx="12">
                  <c:v>75.479868343195264</c:v>
                </c:pt>
                <c:pt idx="13">
                  <c:v>74.913072273879962</c:v>
                </c:pt>
                <c:pt idx="14">
                  <c:v>74.432306424344887</c:v>
                </c:pt>
                <c:pt idx="15">
                  <c:v>74.008719230769231</c:v>
                </c:pt>
                <c:pt idx="16">
                  <c:v>73.756318681318675</c:v>
                </c:pt>
                <c:pt idx="17">
                  <c:v>73.589248689771765</c:v>
                </c:pt>
                <c:pt idx="18">
                  <c:v>73.481080008453091</c:v>
                </c:pt>
                <c:pt idx="19">
                  <c:v>73.48616576500423</c:v>
                </c:pt>
                <c:pt idx="20">
                  <c:v>73.182085989010986</c:v>
                </c:pt>
                <c:pt idx="21">
                  <c:v>72.793541314454771</c:v>
                </c:pt>
                <c:pt idx="22">
                  <c:v>72.631456318681316</c:v>
                </c:pt>
                <c:pt idx="23">
                  <c:v>72.582448668639046</c:v>
                </c:pt>
                <c:pt idx="24">
                  <c:v>72.477016715976333</c:v>
                </c:pt>
                <c:pt idx="25">
                  <c:v>72.26701312341504</c:v>
                </c:pt>
                <c:pt idx="26">
                  <c:v>72.094840659340647</c:v>
                </c:pt>
                <c:pt idx="27">
                  <c:v>71.922790131022822</c:v>
                </c:pt>
                <c:pt idx="28">
                  <c:v>71.835340574809806</c:v>
                </c:pt>
                <c:pt idx="29">
                  <c:v>71.776087278106502</c:v>
                </c:pt>
                <c:pt idx="30">
                  <c:v>71.773128951817412</c:v>
                </c:pt>
                <c:pt idx="31">
                  <c:v>71.826392434488596</c:v>
                </c:pt>
                <c:pt idx="32">
                  <c:v>71.570362806424356</c:v>
                </c:pt>
                <c:pt idx="33">
                  <c:v>71.230232142857133</c:v>
                </c:pt>
                <c:pt idx="34">
                  <c:v>71.171234911242593</c:v>
                </c:pt>
                <c:pt idx="35">
                  <c:v>71.168410714285713</c:v>
                </c:pt>
                <c:pt idx="36">
                  <c:v>71.16556213017752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F4-4DF7-A25E-291AB0284AF0}"/>
            </c:ext>
          </c:extLst>
        </c:ser>
        <c:ser>
          <c:idx val="7"/>
          <c:order val="1"/>
          <c:tx>
            <c:v>19th Mar</c:v>
          </c:tx>
          <c:spPr>
            <a:ln w="158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'Curve Structure Diesel'!$A$2:$A$38</c:f>
              <c:numCache>
                <c:formatCode>m/d/yyyy</c:formatCode>
                <c:ptCount val="37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46327</c:v>
                </c:pt>
                <c:pt idx="9">
                  <c:v>46357</c:v>
                </c:pt>
                <c:pt idx="10">
                  <c:v>46388</c:v>
                </c:pt>
                <c:pt idx="11">
                  <c:v>46419</c:v>
                </c:pt>
                <c:pt idx="12">
                  <c:v>46447</c:v>
                </c:pt>
                <c:pt idx="13">
                  <c:v>46478</c:v>
                </c:pt>
                <c:pt idx="14">
                  <c:v>46508</c:v>
                </c:pt>
                <c:pt idx="15">
                  <c:v>46539</c:v>
                </c:pt>
                <c:pt idx="16">
                  <c:v>46569</c:v>
                </c:pt>
                <c:pt idx="17">
                  <c:v>46600</c:v>
                </c:pt>
                <c:pt idx="18">
                  <c:v>46631</c:v>
                </c:pt>
                <c:pt idx="19">
                  <c:v>46661</c:v>
                </c:pt>
                <c:pt idx="20">
                  <c:v>46692</c:v>
                </c:pt>
                <c:pt idx="21">
                  <c:v>46722</c:v>
                </c:pt>
                <c:pt idx="22">
                  <c:v>46753</c:v>
                </c:pt>
                <c:pt idx="23">
                  <c:v>46784</c:v>
                </c:pt>
                <c:pt idx="24">
                  <c:v>46813</c:v>
                </c:pt>
                <c:pt idx="25">
                  <c:v>46844</c:v>
                </c:pt>
                <c:pt idx="26">
                  <c:v>46874</c:v>
                </c:pt>
                <c:pt idx="27">
                  <c:v>46905</c:v>
                </c:pt>
                <c:pt idx="28">
                  <c:v>46935</c:v>
                </c:pt>
                <c:pt idx="29">
                  <c:v>46966</c:v>
                </c:pt>
                <c:pt idx="30">
                  <c:v>46997</c:v>
                </c:pt>
                <c:pt idx="31">
                  <c:v>47027</c:v>
                </c:pt>
                <c:pt idx="32">
                  <c:v>47058</c:v>
                </c:pt>
                <c:pt idx="33">
                  <c:v>47088</c:v>
                </c:pt>
                <c:pt idx="34">
                  <c:v>47119</c:v>
                </c:pt>
                <c:pt idx="35">
                  <c:v>47150</c:v>
                </c:pt>
                <c:pt idx="36">
                  <c:v>47178</c:v>
                </c:pt>
              </c:numCache>
            </c:numRef>
          </c:cat>
          <c:val>
            <c:numRef>
              <c:f>'Curve Structure Diesel'!$I$2:$I$38</c:f>
              <c:numCache>
                <c:formatCode>General</c:formatCode>
                <c:ptCount val="37"/>
                <c:pt idx="0">
                  <c:v>154.33550760777683</c:v>
                </c:pt>
                <c:pt idx="1">
                  <c:v>136.1628594463229</c:v>
                </c:pt>
                <c:pt idx="2">
                  <c:v>119.73852168216398</c:v>
                </c:pt>
                <c:pt idx="3">
                  <c:v>110.11044928148776</c:v>
                </c:pt>
                <c:pt idx="4">
                  <c:v>105.20956331360946</c:v>
                </c:pt>
                <c:pt idx="5">
                  <c:v>102.46390384615385</c:v>
                </c:pt>
                <c:pt idx="6">
                  <c:v>101.18738254437871</c:v>
                </c:pt>
                <c:pt idx="7">
                  <c:v>98.435363102282324</c:v>
                </c:pt>
                <c:pt idx="8">
                  <c:v>95.614759868977188</c:v>
                </c:pt>
                <c:pt idx="9">
                  <c:v>94.089165828402358</c:v>
                </c:pt>
                <c:pt idx="10">
                  <c:v>92.904335566356707</c:v>
                </c:pt>
                <c:pt idx="11">
                  <c:v>91.681284868977173</c:v>
                </c:pt>
                <c:pt idx="12">
                  <c:v>90.38291792054099</c:v>
                </c:pt>
                <c:pt idx="13">
                  <c:v>89.277692307692305</c:v>
                </c:pt>
                <c:pt idx="14">
                  <c:v>88.260017751479282</c:v>
                </c:pt>
                <c:pt idx="15">
                  <c:v>87.514091525781907</c:v>
                </c:pt>
                <c:pt idx="16">
                  <c:v>86.949550295857989</c:v>
                </c:pt>
                <c:pt idx="17">
                  <c:v>86.556897464074382</c:v>
                </c:pt>
                <c:pt idx="18">
                  <c:v>86.281732354184285</c:v>
                </c:pt>
                <c:pt idx="19">
                  <c:v>85.69323372781065</c:v>
                </c:pt>
                <c:pt idx="20">
                  <c:v>85.022937954353338</c:v>
                </c:pt>
                <c:pt idx="21">
                  <c:v>84.609521787827561</c:v>
                </c:pt>
                <c:pt idx="22">
                  <c:v>84.310337954353344</c:v>
                </c:pt>
                <c:pt idx="23">
                  <c:v>83.983027557058321</c:v>
                </c:pt>
                <c:pt idx="24">
                  <c:v>83.456898668639056</c:v>
                </c:pt>
                <c:pt idx="25">
                  <c:v>82.844644970414194</c:v>
                </c:pt>
                <c:pt idx="26">
                  <c:v>82.259435672020288</c:v>
                </c:pt>
                <c:pt idx="27">
                  <c:v>81.901991863905323</c:v>
                </c:pt>
                <c:pt idx="28">
                  <c:v>81.459771238377002</c:v>
                </c:pt>
                <c:pt idx="29">
                  <c:v>81.188073076923061</c:v>
                </c:pt>
                <c:pt idx="30">
                  <c:v>80.916685122569731</c:v>
                </c:pt>
                <c:pt idx="31">
                  <c:v>80.390608199492817</c:v>
                </c:pt>
                <c:pt idx="32">
                  <c:v>79.78006927303467</c:v>
                </c:pt>
                <c:pt idx="33">
                  <c:v>79.651234044801342</c:v>
                </c:pt>
                <c:pt idx="34">
                  <c:v>79.550772083685544</c:v>
                </c:pt>
                <c:pt idx="35">
                  <c:v>79.450313102282337</c:v>
                </c:pt>
                <c:pt idx="36">
                  <c:v>79.321727472527471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F4-4DF7-A25E-291AB0284AF0}"/>
            </c:ext>
          </c:extLst>
        </c:ser>
        <c:ser>
          <c:idx val="8"/>
          <c:order val="2"/>
          <c:tx>
            <c:v>10th Apr</c:v>
          </c:tx>
          <c:spPr>
            <a:ln w="19050" cap="rnd">
              <a:solidFill>
                <a:srgbClr val="86FC99"/>
              </a:solidFill>
              <a:round/>
            </a:ln>
            <a:effectLst/>
          </c:spPr>
          <c:marker>
            <c:symbol val="none"/>
          </c:marker>
          <c:cat>
            <c:numRef>
              <c:f>'Curve Structure Diesel'!$A$2:$A$38</c:f>
              <c:numCache>
                <c:formatCode>m/d/yyyy</c:formatCode>
                <c:ptCount val="37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46327</c:v>
                </c:pt>
                <c:pt idx="9">
                  <c:v>46357</c:v>
                </c:pt>
                <c:pt idx="10">
                  <c:v>46388</c:v>
                </c:pt>
                <c:pt idx="11">
                  <c:v>46419</c:v>
                </c:pt>
                <c:pt idx="12">
                  <c:v>46447</c:v>
                </c:pt>
                <c:pt idx="13">
                  <c:v>46478</c:v>
                </c:pt>
                <c:pt idx="14">
                  <c:v>46508</c:v>
                </c:pt>
                <c:pt idx="15">
                  <c:v>46539</c:v>
                </c:pt>
                <c:pt idx="16">
                  <c:v>46569</c:v>
                </c:pt>
                <c:pt idx="17">
                  <c:v>46600</c:v>
                </c:pt>
                <c:pt idx="18">
                  <c:v>46631</c:v>
                </c:pt>
                <c:pt idx="19">
                  <c:v>46661</c:v>
                </c:pt>
                <c:pt idx="20">
                  <c:v>46692</c:v>
                </c:pt>
                <c:pt idx="21">
                  <c:v>46722</c:v>
                </c:pt>
                <c:pt idx="22">
                  <c:v>46753</c:v>
                </c:pt>
                <c:pt idx="23">
                  <c:v>46784</c:v>
                </c:pt>
                <c:pt idx="24">
                  <c:v>46813</c:v>
                </c:pt>
                <c:pt idx="25">
                  <c:v>46844</c:v>
                </c:pt>
                <c:pt idx="26">
                  <c:v>46874</c:v>
                </c:pt>
                <c:pt idx="27">
                  <c:v>46905</c:v>
                </c:pt>
                <c:pt idx="28">
                  <c:v>46935</c:v>
                </c:pt>
                <c:pt idx="29">
                  <c:v>46966</c:v>
                </c:pt>
                <c:pt idx="30">
                  <c:v>46997</c:v>
                </c:pt>
                <c:pt idx="31">
                  <c:v>47027</c:v>
                </c:pt>
                <c:pt idx="32">
                  <c:v>47058</c:v>
                </c:pt>
                <c:pt idx="33">
                  <c:v>47088</c:v>
                </c:pt>
                <c:pt idx="34">
                  <c:v>47119</c:v>
                </c:pt>
                <c:pt idx="35">
                  <c:v>47150</c:v>
                </c:pt>
                <c:pt idx="36">
                  <c:v>47178</c:v>
                </c:pt>
              </c:numCache>
            </c:numRef>
          </c:cat>
          <c:val>
            <c:numRef>
              <c:f>'Curve Structure Diesel'!$J$2:$J$38</c:f>
              <c:numCache>
                <c:formatCode>General</c:formatCode>
                <c:ptCount val="37"/>
                <c:pt idx="0">
                  <c:v>133.9543533389687</c:v>
                </c:pt>
                <c:pt idx="1">
                  <c:v>122.67852071005916</c:v>
                </c:pt>
                <c:pt idx="2">
                  <c:v>115.67662037193575</c:v>
                </c:pt>
                <c:pt idx="3">
                  <c:v>111.0790073964497</c:v>
                </c:pt>
                <c:pt idx="4">
                  <c:v>107.96539659763314</c:v>
                </c:pt>
                <c:pt idx="5">
                  <c:v>105.5590721893491</c:v>
                </c:pt>
                <c:pt idx="6">
                  <c:v>102.31074122992393</c:v>
                </c:pt>
                <c:pt idx="7">
                  <c:v>98.890166525781908</c:v>
                </c:pt>
                <c:pt idx="8">
                  <c:v>97.049832121724435</c:v>
                </c:pt>
                <c:pt idx="9">
                  <c:v>95.619265426880801</c:v>
                </c:pt>
                <c:pt idx="10">
                  <c:v>94.129709023668639</c:v>
                </c:pt>
                <c:pt idx="11">
                  <c:v>92.556295540997453</c:v>
                </c:pt>
                <c:pt idx="12">
                  <c:v>91.242009129332217</c:v>
                </c:pt>
                <c:pt idx="13">
                  <c:v>89.98439234995773</c:v>
                </c:pt>
                <c:pt idx="14">
                  <c:v>88.988071280642444</c:v>
                </c:pt>
                <c:pt idx="15">
                  <c:v>88.174850274725287</c:v>
                </c:pt>
                <c:pt idx="16">
                  <c:v>87.512335714285712</c:v>
                </c:pt>
                <c:pt idx="17">
                  <c:v>86.9944305156382</c:v>
                </c:pt>
                <c:pt idx="18">
                  <c:v>86.191483516483515</c:v>
                </c:pt>
                <c:pt idx="19">
                  <c:v>85.303299260355033</c:v>
                </c:pt>
                <c:pt idx="20">
                  <c:v>84.790952345731199</c:v>
                </c:pt>
                <c:pt idx="21">
                  <c:v>84.393821259509721</c:v>
                </c:pt>
                <c:pt idx="22">
                  <c:v>83.939804416737104</c:v>
                </c:pt>
                <c:pt idx="23">
                  <c:v>83.314509995773449</c:v>
                </c:pt>
                <c:pt idx="24">
                  <c:v>82.77573829247676</c:v>
                </c:pt>
                <c:pt idx="25">
                  <c:v>82.299710059171588</c:v>
                </c:pt>
                <c:pt idx="26">
                  <c:v>81.887340321217238</c:v>
                </c:pt>
                <c:pt idx="27">
                  <c:v>81.503855705832621</c:v>
                </c:pt>
                <c:pt idx="28">
                  <c:v>81.206461876584953</c:v>
                </c:pt>
                <c:pt idx="29">
                  <c:v>80.966361622992395</c:v>
                </c:pt>
                <c:pt idx="30">
                  <c:v>80.355559763313607</c:v>
                </c:pt>
                <c:pt idx="31">
                  <c:v>79.716743131868128</c:v>
                </c:pt>
                <c:pt idx="32">
                  <c:v>79.534633770076084</c:v>
                </c:pt>
                <c:pt idx="33">
                  <c:v>79.21026035502959</c:v>
                </c:pt>
                <c:pt idx="34">
                  <c:v>78.943068639053266</c:v>
                </c:pt>
                <c:pt idx="35">
                  <c:v>78.64769727387997</c:v>
                </c:pt>
                <c:pt idx="36">
                  <c:v>78.380972633136096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F4-4DF7-A25E-291AB0284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89664"/>
        <c:axId val="1752819280"/>
      </c:lineChart>
      <c:dateAx>
        <c:axId val="151189664"/>
        <c:scaling>
          <c:orientation val="minMax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752819280"/>
        <c:crosses val="autoZero"/>
        <c:auto val="1"/>
        <c:lblOffset val="100"/>
        <c:baseTimeUnit val="months"/>
        <c:majorUnit val="3"/>
        <c:majorTimeUnit val="months"/>
      </c:dateAx>
      <c:valAx>
        <c:axId val="1752819280"/>
        <c:scaling>
          <c:orientation val="minMax"/>
          <c:max val="15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c\p\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5118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789289204160787"/>
          <c:y val="0.10649402687664851"/>
          <c:w val="0.56135935994023611"/>
          <c:h val="6.447038466721857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'Spot vs Forwards'!$C$1</c:f>
              <c:strCache>
                <c:ptCount val="1"/>
                <c:pt idx="0">
                  <c:v>Diesel Spot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Forwards'!$C$2:$C$70</c:f>
              <c:numCache>
                <c:formatCode>General</c:formatCode>
                <c:ptCount val="69"/>
                <c:pt idx="0">
                  <c:v>624.25</c:v>
                </c:pt>
                <c:pt idx="1">
                  <c:v>636.5</c:v>
                </c:pt>
                <c:pt idx="2">
                  <c:v>628.75</c:v>
                </c:pt>
                <c:pt idx="3">
                  <c:v>615.5</c:v>
                </c:pt>
                <c:pt idx="4">
                  <c:v>625.25</c:v>
                </c:pt>
                <c:pt idx="5">
                  <c:v>645.5</c:v>
                </c:pt>
                <c:pt idx="6">
                  <c:v>638.25</c:v>
                </c:pt>
                <c:pt idx="7">
                  <c:v>666.75</c:v>
                </c:pt>
                <c:pt idx="8">
                  <c:v>671.75</c:v>
                </c:pt>
                <c:pt idx="9">
                  <c:v>653.75</c:v>
                </c:pt>
                <c:pt idx="10">
                  <c:v>666.75</c:v>
                </c:pt>
                <c:pt idx="11">
                  <c:v>664</c:v>
                </c:pt>
                <c:pt idx="12">
                  <c:v>678.5</c:v>
                </c:pt>
                <c:pt idx="13">
                  <c:v>698</c:v>
                </c:pt>
                <c:pt idx="14">
                  <c:v>684</c:v>
                </c:pt>
                <c:pt idx="15">
                  <c:v>687.75</c:v>
                </c:pt>
                <c:pt idx="16">
                  <c:v>690</c:v>
                </c:pt>
                <c:pt idx="17">
                  <c:v>692.25</c:v>
                </c:pt>
                <c:pt idx="18">
                  <c:v>706.75</c:v>
                </c:pt>
                <c:pt idx="19">
                  <c:v>723</c:v>
                </c:pt>
                <c:pt idx="20">
                  <c:v>754.5</c:v>
                </c:pt>
                <c:pt idx="21">
                  <c:v>695.75</c:v>
                </c:pt>
                <c:pt idx="22">
                  <c:v>697.75</c:v>
                </c:pt>
                <c:pt idx="23">
                  <c:v>698.75</c:v>
                </c:pt>
                <c:pt idx="24">
                  <c:v>700.5</c:v>
                </c:pt>
                <c:pt idx="25">
                  <c:v>712.25</c:v>
                </c:pt>
                <c:pt idx="26">
                  <c:v>707.25</c:v>
                </c:pt>
                <c:pt idx="27">
                  <c:v>696.75</c:v>
                </c:pt>
                <c:pt idx="28">
                  <c:v>713.75</c:v>
                </c:pt>
                <c:pt idx="29">
                  <c:v>692.5</c:v>
                </c:pt>
                <c:pt idx="30">
                  <c:v>690.5</c:v>
                </c:pt>
                <c:pt idx="31">
                  <c:v>695.25</c:v>
                </c:pt>
                <c:pt idx="32">
                  <c:v>689</c:v>
                </c:pt>
                <c:pt idx="33">
                  <c:v>715.25</c:v>
                </c:pt>
                <c:pt idx="34">
                  <c:v>744.5</c:v>
                </c:pt>
                <c:pt idx="35">
                  <c:v>748.75</c:v>
                </c:pt>
                <c:pt idx="36">
                  <c:v>761.25</c:v>
                </c:pt>
                <c:pt idx="37">
                  <c:v>748.5</c:v>
                </c:pt>
                <c:pt idx="38">
                  <c:v>745</c:v>
                </c:pt>
                <c:pt idx="39">
                  <c:v>767.25</c:v>
                </c:pt>
                <c:pt idx="40">
                  <c:v>767.5</c:v>
                </c:pt>
                <c:pt idx="41">
                  <c:v>1068</c:v>
                </c:pt>
                <c:pt idx="42">
                  <c:v>1142</c:v>
                </c:pt>
                <c:pt idx="43">
                  <c:v>1216</c:v>
                </c:pt>
                <c:pt idx="44">
                  <c:v>890.5</c:v>
                </c:pt>
                <c:pt idx="45">
                  <c:v>1020.75</c:v>
                </c:pt>
                <c:pt idx="46">
                  <c:v>1012</c:v>
                </c:pt>
                <c:pt idx="47">
                  <c:v>1135.75</c:v>
                </c:pt>
                <c:pt idx="48">
                  <c:v>1178.25</c:v>
                </c:pt>
                <c:pt idx="49">
                  <c:v>1194.75</c:v>
                </c:pt>
                <c:pt idx="50">
                  <c:v>1230</c:v>
                </c:pt>
                <c:pt idx="51">
                  <c:v>1255.25</c:v>
                </c:pt>
                <c:pt idx="52">
                  <c:v>1259</c:v>
                </c:pt>
                <c:pt idx="53">
                  <c:v>1364.25</c:v>
                </c:pt>
                <c:pt idx="54">
                  <c:v>1469.75</c:v>
                </c:pt>
                <c:pt idx="55">
                  <c:v>1513.25</c:v>
                </c:pt>
                <c:pt idx="56">
                  <c:v>1397.5</c:v>
                </c:pt>
                <c:pt idx="57">
                  <c:v>1389</c:v>
                </c:pt>
                <c:pt idx="58">
                  <c:v>1288</c:v>
                </c:pt>
                <c:pt idx="59">
                  <c:v>1417</c:v>
                </c:pt>
                <c:pt idx="60">
                  <c:v>1442</c:v>
                </c:pt>
                <c:pt idx="61">
                  <c:v>1461.75</c:v>
                </c:pt>
                <c:pt idx="62">
                  <c:v>1411.25</c:v>
                </c:pt>
                <c:pt idx="63">
                  <c:v>1406.5</c:v>
                </c:pt>
                <c:pt idx="64">
                  <c:v>1617</c:v>
                </c:pt>
                <c:pt idx="65">
                  <c:v>1558.25</c:v>
                </c:pt>
                <c:pt idx="66">
                  <c:v>1280</c:v>
                </c:pt>
                <c:pt idx="67">
                  <c:v>1425</c:v>
                </c:pt>
                <c:pt idx="68">
                  <c:v>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C9-488A-80ED-9A2D3AFE1DBE}"/>
            </c:ext>
          </c:extLst>
        </c:ser>
        <c:ser>
          <c:idx val="2"/>
          <c:order val="1"/>
          <c:tx>
            <c:strRef>
              <c:f>'Spot vs Forwards'!$F$1</c:f>
              <c:strCache>
                <c:ptCount val="1"/>
                <c:pt idx="0">
                  <c:v>Diesel Forward</c:v>
                </c:pt>
              </c:strCache>
            </c:strRef>
          </c:tx>
          <c:spPr>
            <a:ln w="15875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Forwards'!$F$2:$F$70</c:f>
              <c:numCache>
                <c:formatCode>General</c:formatCode>
                <c:ptCount val="69"/>
                <c:pt idx="0">
                  <c:v>615.6</c:v>
                </c:pt>
                <c:pt idx="1">
                  <c:v>626.85</c:v>
                </c:pt>
                <c:pt idx="2">
                  <c:v>619.70000000000005</c:v>
                </c:pt>
                <c:pt idx="3">
                  <c:v>607.75</c:v>
                </c:pt>
                <c:pt idx="4">
                  <c:v>616.25</c:v>
                </c:pt>
                <c:pt idx="5">
                  <c:v>638.45000000000005</c:v>
                </c:pt>
                <c:pt idx="6">
                  <c:v>634.25</c:v>
                </c:pt>
                <c:pt idx="7">
                  <c:v>661.65</c:v>
                </c:pt>
                <c:pt idx="8">
                  <c:v>666.4</c:v>
                </c:pt>
                <c:pt idx="9">
                  <c:v>648.15</c:v>
                </c:pt>
                <c:pt idx="10">
                  <c:v>662.2</c:v>
                </c:pt>
                <c:pt idx="11">
                  <c:v>659.2</c:v>
                </c:pt>
                <c:pt idx="12">
                  <c:v>673.75</c:v>
                </c:pt>
                <c:pt idx="13">
                  <c:v>690.4</c:v>
                </c:pt>
                <c:pt idx="14">
                  <c:v>677.1</c:v>
                </c:pt>
                <c:pt idx="15">
                  <c:v>681.3</c:v>
                </c:pt>
                <c:pt idx="16">
                  <c:v>683.85</c:v>
                </c:pt>
                <c:pt idx="17">
                  <c:v>686.35</c:v>
                </c:pt>
                <c:pt idx="18">
                  <c:v>701.65</c:v>
                </c:pt>
                <c:pt idx="19">
                  <c:v>718.25</c:v>
                </c:pt>
                <c:pt idx="20">
                  <c:v>744.7</c:v>
                </c:pt>
                <c:pt idx="21">
                  <c:v>677.68200000000002</c:v>
                </c:pt>
                <c:pt idx="22">
                  <c:v>683.56799999999998</c:v>
                </c:pt>
                <c:pt idx="23">
                  <c:v>686.29499999999996</c:v>
                </c:pt>
                <c:pt idx="24">
                  <c:v>686.61400000000003</c:v>
                </c:pt>
                <c:pt idx="25">
                  <c:v>698.245</c:v>
                </c:pt>
                <c:pt idx="26">
                  <c:v>694.70500000000004</c:v>
                </c:pt>
                <c:pt idx="27">
                  <c:v>686.06799999999998</c:v>
                </c:pt>
                <c:pt idx="28">
                  <c:v>700.43200000000002</c:v>
                </c:pt>
                <c:pt idx="29">
                  <c:v>680.97699999999998</c:v>
                </c:pt>
                <c:pt idx="30">
                  <c:v>678.47699999999998</c:v>
                </c:pt>
                <c:pt idx="31">
                  <c:v>685.13599999999997</c:v>
                </c:pt>
                <c:pt idx="32">
                  <c:v>678.06799999999998</c:v>
                </c:pt>
                <c:pt idx="33">
                  <c:v>704.06799999999998</c:v>
                </c:pt>
                <c:pt idx="34">
                  <c:v>731.09100000000001</c:v>
                </c:pt>
                <c:pt idx="35">
                  <c:v>737.43200000000002</c:v>
                </c:pt>
                <c:pt idx="36">
                  <c:v>751.52300000000002</c:v>
                </c:pt>
                <c:pt idx="37">
                  <c:v>736.90899999999999</c:v>
                </c:pt>
                <c:pt idx="38">
                  <c:v>734.15899999999999</c:v>
                </c:pt>
                <c:pt idx="39">
                  <c:v>756.59100000000001</c:v>
                </c:pt>
                <c:pt idx="40">
                  <c:v>757.79499999999996</c:v>
                </c:pt>
                <c:pt idx="41">
                  <c:v>961.35699999999997</c:v>
                </c:pt>
                <c:pt idx="42">
                  <c:v>1025.2139999999999</c:v>
                </c:pt>
                <c:pt idx="43">
                  <c:v>1104.357</c:v>
                </c:pt>
                <c:pt idx="44">
                  <c:v>845.14300000000003</c:v>
                </c:pt>
                <c:pt idx="45">
                  <c:v>934.92899999999997</c:v>
                </c:pt>
                <c:pt idx="46">
                  <c:v>901.39300000000003</c:v>
                </c:pt>
                <c:pt idx="47">
                  <c:v>982.39300000000003</c:v>
                </c:pt>
                <c:pt idx="48">
                  <c:v>1026.5</c:v>
                </c:pt>
                <c:pt idx="49">
                  <c:v>1050.4639999999999</c:v>
                </c:pt>
                <c:pt idx="50">
                  <c:v>1107.2860000000001</c:v>
                </c:pt>
                <c:pt idx="51">
                  <c:v>1131.4290000000001</c:v>
                </c:pt>
                <c:pt idx="52">
                  <c:v>1133.6790000000001</c:v>
                </c:pt>
                <c:pt idx="53">
                  <c:v>1222.5360000000001</c:v>
                </c:pt>
                <c:pt idx="54">
                  <c:v>1298.9639999999999</c:v>
                </c:pt>
                <c:pt idx="55">
                  <c:v>1320.643</c:v>
                </c:pt>
                <c:pt idx="56">
                  <c:v>1260.4290000000001</c:v>
                </c:pt>
                <c:pt idx="57">
                  <c:v>1264.393</c:v>
                </c:pt>
                <c:pt idx="58">
                  <c:v>1166.7139999999999</c:v>
                </c:pt>
                <c:pt idx="59">
                  <c:v>1299.4639999999999</c:v>
                </c:pt>
                <c:pt idx="60">
                  <c:v>1322.5360000000001</c:v>
                </c:pt>
                <c:pt idx="61">
                  <c:v>1356.357</c:v>
                </c:pt>
                <c:pt idx="62">
                  <c:v>1334.1790000000001</c:v>
                </c:pt>
                <c:pt idx="63">
                  <c:v>1176.4169999999999</c:v>
                </c:pt>
                <c:pt idx="64">
                  <c:v>1262.25</c:v>
                </c:pt>
                <c:pt idx="65">
                  <c:v>1320.4169999999999</c:v>
                </c:pt>
                <c:pt idx="66">
                  <c:v>1127.75</c:v>
                </c:pt>
                <c:pt idx="67">
                  <c:v>1203.8330000000001</c:v>
                </c:pt>
                <c:pt idx="68">
                  <c:v>1128.1669999999999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5C9-488A-80ED-9A2D3AFE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86016"/>
        <c:axId val="907214944"/>
      </c:lineChart>
      <c:lineChart>
        <c:grouping val="standard"/>
        <c:varyColors val="0"/>
        <c:ser>
          <c:idx val="3"/>
          <c:order val="2"/>
          <c:tx>
            <c:strRef>
              <c:f>'Spot vs Forwards'!$I$1</c:f>
              <c:strCache>
                <c:ptCount val="1"/>
                <c:pt idx="0">
                  <c:v>Diesel Spot - Fwd</c:v>
                </c:pt>
              </c:strCache>
            </c:strRef>
          </c:tx>
          <c:spPr>
            <a:ln w="15875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Forwards'!$I$2:$I$70</c:f>
              <c:numCache>
                <c:formatCode>General</c:formatCode>
                <c:ptCount val="69"/>
                <c:pt idx="0">
                  <c:v>8.6499999999999773</c:v>
                </c:pt>
                <c:pt idx="1">
                  <c:v>9.6499999999999773</c:v>
                </c:pt>
                <c:pt idx="2">
                  <c:v>9.0499999999999545</c:v>
                </c:pt>
                <c:pt idx="3">
                  <c:v>7.75</c:v>
                </c:pt>
                <c:pt idx="4">
                  <c:v>9</c:v>
                </c:pt>
                <c:pt idx="5">
                  <c:v>7.0499999999999545</c:v>
                </c:pt>
                <c:pt idx="6">
                  <c:v>4</c:v>
                </c:pt>
                <c:pt idx="7">
                  <c:v>5.1000000000000227</c:v>
                </c:pt>
                <c:pt idx="8">
                  <c:v>5.3500000000000227</c:v>
                </c:pt>
                <c:pt idx="9">
                  <c:v>5.6000000000000227</c:v>
                </c:pt>
                <c:pt idx="10">
                  <c:v>4.5499999999999545</c:v>
                </c:pt>
                <c:pt idx="11">
                  <c:v>4.7999999999999545</c:v>
                </c:pt>
                <c:pt idx="12">
                  <c:v>4.75</c:v>
                </c:pt>
                <c:pt idx="13">
                  <c:v>7.6000000000000227</c:v>
                </c:pt>
                <c:pt idx="14">
                  <c:v>6.8999999999999773</c:v>
                </c:pt>
                <c:pt idx="15">
                  <c:v>6.4500000000000455</c:v>
                </c:pt>
                <c:pt idx="16">
                  <c:v>6.1499999999999773</c:v>
                </c:pt>
                <c:pt idx="17">
                  <c:v>5.8999999999999773</c:v>
                </c:pt>
                <c:pt idx="18">
                  <c:v>5.1000000000000227</c:v>
                </c:pt>
                <c:pt idx="19">
                  <c:v>4.75</c:v>
                </c:pt>
                <c:pt idx="20">
                  <c:v>9.7999999999999545</c:v>
                </c:pt>
                <c:pt idx="21">
                  <c:v>18.067999999999984</c:v>
                </c:pt>
                <c:pt idx="22">
                  <c:v>14.182000000000016</c:v>
                </c:pt>
                <c:pt idx="23">
                  <c:v>12.455000000000041</c:v>
                </c:pt>
                <c:pt idx="24">
                  <c:v>13.885999999999967</c:v>
                </c:pt>
                <c:pt idx="25">
                  <c:v>14.004999999999995</c:v>
                </c:pt>
                <c:pt idx="26">
                  <c:v>12.544999999999959</c:v>
                </c:pt>
                <c:pt idx="27">
                  <c:v>10.682000000000016</c:v>
                </c:pt>
                <c:pt idx="28">
                  <c:v>13.317999999999984</c:v>
                </c:pt>
                <c:pt idx="29">
                  <c:v>11.523000000000025</c:v>
                </c:pt>
                <c:pt idx="30">
                  <c:v>12.023000000000025</c:v>
                </c:pt>
                <c:pt idx="31">
                  <c:v>10.114000000000033</c:v>
                </c:pt>
                <c:pt idx="32">
                  <c:v>10.932000000000016</c:v>
                </c:pt>
                <c:pt idx="33">
                  <c:v>11.182000000000016</c:v>
                </c:pt>
                <c:pt idx="34">
                  <c:v>13.408999999999992</c:v>
                </c:pt>
                <c:pt idx="35">
                  <c:v>11.317999999999984</c:v>
                </c:pt>
                <c:pt idx="36">
                  <c:v>9.7269999999999754</c:v>
                </c:pt>
                <c:pt idx="37">
                  <c:v>11.591000000000008</c:v>
                </c:pt>
                <c:pt idx="38">
                  <c:v>10.841000000000008</c:v>
                </c:pt>
                <c:pt idx="39">
                  <c:v>10.658999999999992</c:v>
                </c:pt>
                <c:pt idx="40">
                  <c:v>9.7050000000000409</c:v>
                </c:pt>
                <c:pt idx="41">
                  <c:v>106.64300000000003</c:v>
                </c:pt>
                <c:pt idx="42">
                  <c:v>116.78600000000006</c:v>
                </c:pt>
                <c:pt idx="43">
                  <c:v>111.64300000000003</c:v>
                </c:pt>
                <c:pt idx="44">
                  <c:v>45.356999999999971</c:v>
                </c:pt>
                <c:pt idx="45">
                  <c:v>85.821000000000026</c:v>
                </c:pt>
                <c:pt idx="46">
                  <c:v>110.60699999999997</c:v>
                </c:pt>
                <c:pt idx="47">
                  <c:v>153.35699999999997</c:v>
                </c:pt>
                <c:pt idx="48">
                  <c:v>151.75</c:v>
                </c:pt>
                <c:pt idx="49">
                  <c:v>144.28600000000006</c:v>
                </c:pt>
                <c:pt idx="50">
                  <c:v>122.71399999999994</c:v>
                </c:pt>
                <c:pt idx="51">
                  <c:v>123.82099999999991</c:v>
                </c:pt>
                <c:pt idx="52">
                  <c:v>125.32099999999991</c:v>
                </c:pt>
                <c:pt idx="53">
                  <c:v>141.71399999999994</c:v>
                </c:pt>
                <c:pt idx="54">
                  <c:v>170.78600000000006</c:v>
                </c:pt>
                <c:pt idx="55">
                  <c:v>192.60699999999997</c:v>
                </c:pt>
                <c:pt idx="56">
                  <c:v>137.07099999999991</c:v>
                </c:pt>
                <c:pt idx="57">
                  <c:v>124.60699999999997</c:v>
                </c:pt>
                <c:pt idx="58">
                  <c:v>121.28600000000006</c:v>
                </c:pt>
                <c:pt idx="59">
                  <c:v>117.53600000000006</c:v>
                </c:pt>
                <c:pt idx="60">
                  <c:v>119.46399999999994</c:v>
                </c:pt>
                <c:pt idx="61">
                  <c:v>105.39300000000003</c:v>
                </c:pt>
                <c:pt idx="62">
                  <c:v>77.070999999999913</c:v>
                </c:pt>
                <c:pt idx="63">
                  <c:v>230.08300000000008</c:v>
                </c:pt>
                <c:pt idx="64">
                  <c:v>354.75</c:v>
                </c:pt>
                <c:pt idx="65">
                  <c:v>237.83300000000008</c:v>
                </c:pt>
                <c:pt idx="66">
                  <c:v>152.25</c:v>
                </c:pt>
                <c:pt idx="67">
                  <c:v>221.16699999999992</c:v>
                </c:pt>
                <c:pt idx="68">
                  <c:v>206.83300000000008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5C9-488A-80ED-9A2D3AFE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005088"/>
        <c:axId val="1930005568"/>
      </c:lineChart>
      <c:dateAx>
        <c:axId val="609486016"/>
        <c:scaling>
          <c:orientation val="minMax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07214944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907214944"/>
        <c:scaling>
          <c:orientation val="minMax"/>
          <c:max val="17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,##0&quot; /mT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09486016"/>
        <c:crosses val="autoZero"/>
        <c:crossBetween val="between"/>
      </c:valAx>
      <c:valAx>
        <c:axId val="1930005568"/>
        <c:scaling>
          <c:orientation val="minMax"/>
        </c:scaling>
        <c:delete val="0"/>
        <c:axPos val="r"/>
        <c:numFmt formatCode="[$$-409]#,##0&quot; /mT&quot;" sourceLinked="0"/>
        <c:majorTickMark val="out"/>
        <c:minorTickMark val="none"/>
        <c:tickLblPos val="nextTo"/>
        <c:crossAx val="1930005088"/>
        <c:crosses val="max"/>
        <c:crossBetween val="between"/>
      </c:valAx>
      <c:dateAx>
        <c:axId val="19300050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30005568"/>
        <c:crosses val="autoZero"/>
        <c:auto val="1"/>
        <c:lblOffset val="100"/>
        <c:baseTimeUnit val="days"/>
        <c:majorUnit val="1"/>
        <c:minorUnit val="1"/>
      </c:dateAx>
      <c:spPr>
        <a:noFill/>
      </c:spPr>
    </c:plotArea>
    <c:legend>
      <c:legendPos val="b"/>
      <c:layout>
        <c:manualLayout>
          <c:xMode val="edge"/>
          <c:yMode val="edge"/>
          <c:x val="7.965620649620056E-2"/>
          <c:y val="0.25508611292980621"/>
          <c:w val="0.63523685325497836"/>
          <c:h val="5.1752333787487143E-2"/>
        </c:manualLayout>
      </c:layout>
      <c:overlay val="1"/>
      <c:spPr>
        <a:noFill/>
        <a:ln>
          <a:noFill/>
        </a:ln>
        <a:effectLst/>
      </c:spPr>
      <c:txPr>
        <a:bodyPr rot="0" vert="horz"/>
        <a:lstStyle/>
        <a:p>
          <a:pPr>
            <a:defRPr sz="2000"/>
          </a:pPr>
          <a:endParaRPr lang="en-U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r>
              <a:rPr lang="en-GB"/>
              <a:t>Jet Spot vs Forward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'Spot vs Forwards'!$B$1</c:f>
              <c:strCache>
                <c:ptCount val="1"/>
                <c:pt idx="0">
                  <c:v>Jet Spot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Forwards'!$B$2:$B$70</c:f>
              <c:numCache>
                <c:formatCode>General</c:formatCode>
                <c:ptCount val="69"/>
                <c:pt idx="0">
                  <c:v>679.25</c:v>
                </c:pt>
                <c:pt idx="1">
                  <c:v>693</c:v>
                </c:pt>
                <c:pt idx="2">
                  <c:v>693.75</c:v>
                </c:pt>
                <c:pt idx="3">
                  <c:v>685</c:v>
                </c:pt>
                <c:pt idx="4">
                  <c:v>691</c:v>
                </c:pt>
                <c:pt idx="5">
                  <c:v>713</c:v>
                </c:pt>
                <c:pt idx="6">
                  <c:v>712.75</c:v>
                </c:pt>
                <c:pt idx="7">
                  <c:v>743.25</c:v>
                </c:pt>
                <c:pt idx="8">
                  <c:v>743.75</c:v>
                </c:pt>
                <c:pt idx="9">
                  <c:v>719.75</c:v>
                </c:pt>
                <c:pt idx="10">
                  <c:v>731.75</c:v>
                </c:pt>
                <c:pt idx="11">
                  <c:v>726.25</c:v>
                </c:pt>
                <c:pt idx="12">
                  <c:v>736.75</c:v>
                </c:pt>
                <c:pt idx="13">
                  <c:v>749.5</c:v>
                </c:pt>
                <c:pt idx="14">
                  <c:v>728.5</c:v>
                </c:pt>
                <c:pt idx="15">
                  <c:v>733.5</c:v>
                </c:pt>
                <c:pt idx="16">
                  <c:v>734</c:v>
                </c:pt>
                <c:pt idx="17">
                  <c:v>741</c:v>
                </c:pt>
                <c:pt idx="18">
                  <c:v>758.25</c:v>
                </c:pt>
                <c:pt idx="19">
                  <c:v>774.25</c:v>
                </c:pt>
                <c:pt idx="20">
                  <c:v>800</c:v>
                </c:pt>
                <c:pt idx="21">
                  <c:v>749.25</c:v>
                </c:pt>
                <c:pt idx="22">
                  <c:v>760</c:v>
                </c:pt>
                <c:pt idx="23">
                  <c:v>762.25</c:v>
                </c:pt>
                <c:pt idx="24">
                  <c:v>768.75</c:v>
                </c:pt>
                <c:pt idx="25">
                  <c:v>778.25</c:v>
                </c:pt>
                <c:pt idx="26">
                  <c:v>771.75</c:v>
                </c:pt>
                <c:pt idx="27">
                  <c:v>761.25</c:v>
                </c:pt>
                <c:pt idx="28">
                  <c:v>775.25</c:v>
                </c:pt>
                <c:pt idx="29">
                  <c:v>753.75</c:v>
                </c:pt>
                <c:pt idx="30">
                  <c:v>750.75</c:v>
                </c:pt>
                <c:pt idx="31">
                  <c:v>763.75</c:v>
                </c:pt>
                <c:pt idx="32">
                  <c:v>761.5</c:v>
                </c:pt>
                <c:pt idx="33">
                  <c:v>784.25</c:v>
                </c:pt>
                <c:pt idx="34">
                  <c:v>808.5</c:v>
                </c:pt>
                <c:pt idx="35">
                  <c:v>808.25</c:v>
                </c:pt>
                <c:pt idx="36">
                  <c:v>817</c:v>
                </c:pt>
                <c:pt idx="37">
                  <c:v>800.25</c:v>
                </c:pt>
                <c:pt idx="38">
                  <c:v>798.5</c:v>
                </c:pt>
                <c:pt idx="39">
                  <c:v>826.75</c:v>
                </c:pt>
                <c:pt idx="40">
                  <c:v>831.25</c:v>
                </c:pt>
                <c:pt idx="41">
                  <c:v>1399.25</c:v>
                </c:pt>
                <c:pt idx="42">
                  <c:v>1500.75</c:v>
                </c:pt>
                <c:pt idx="43">
                  <c:v>1630.25</c:v>
                </c:pt>
                <c:pt idx="44">
                  <c:v>995.25</c:v>
                </c:pt>
                <c:pt idx="45">
                  <c:v>1223.25</c:v>
                </c:pt>
                <c:pt idx="46">
                  <c:v>1259.75</c:v>
                </c:pt>
                <c:pt idx="47">
                  <c:v>1462</c:v>
                </c:pt>
                <c:pt idx="48">
                  <c:v>1476.5</c:v>
                </c:pt>
                <c:pt idx="49">
                  <c:v>1463</c:v>
                </c:pt>
                <c:pt idx="50">
                  <c:v>1607.25</c:v>
                </c:pt>
                <c:pt idx="51">
                  <c:v>1698</c:v>
                </c:pt>
                <c:pt idx="52">
                  <c:v>1664.5</c:v>
                </c:pt>
                <c:pt idx="53">
                  <c:v>1717.75</c:v>
                </c:pt>
                <c:pt idx="54">
                  <c:v>1774.25</c:v>
                </c:pt>
                <c:pt idx="55">
                  <c:v>1720.75</c:v>
                </c:pt>
                <c:pt idx="56">
                  <c:v>1586.25</c:v>
                </c:pt>
                <c:pt idx="57">
                  <c:v>1558.25</c:v>
                </c:pt>
                <c:pt idx="58">
                  <c:v>1457.75</c:v>
                </c:pt>
                <c:pt idx="59">
                  <c:v>1650.75</c:v>
                </c:pt>
                <c:pt idx="60">
                  <c:v>1704.5</c:v>
                </c:pt>
                <c:pt idx="61">
                  <c:v>1765.25</c:v>
                </c:pt>
                <c:pt idx="62">
                  <c:v>1725.75</c:v>
                </c:pt>
                <c:pt idx="63">
                  <c:v>1610.25</c:v>
                </c:pt>
                <c:pt idx="64">
                  <c:v>1842.5</c:v>
                </c:pt>
                <c:pt idx="65">
                  <c:v>1776.25</c:v>
                </c:pt>
                <c:pt idx="66">
                  <c:v>1485.75</c:v>
                </c:pt>
                <c:pt idx="67">
                  <c:v>1580.25</c:v>
                </c:pt>
                <c:pt idx="68">
                  <c:v>1469.5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8C-4504-B15F-D5B43EAA3D97}"/>
            </c:ext>
          </c:extLst>
        </c:ser>
        <c:ser>
          <c:idx val="4"/>
          <c:order val="1"/>
          <c:tx>
            <c:strRef>
              <c:f>'Spot vs Forwards'!$G$1</c:f>
              <c:strCache>
                <c:ptCount val="1"/>
                <c:pt idx="0">
                  <c:v>Jet Forward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Forwards'!$G$2:$G$70</c:f>
              <c:numCache>
                <c:formatCode>General</c:formatCode>
                <c:ptCount val="69"/>
                <c:pt idx="0">
                  <c:v>654.1</c:v>
                </c:pt>
                <c:pt idx="1">
                  <c:v>669.1</c:v>
                </c:pt>
                <c:pt idx="2">
                  <c:v>665.45</c:v>
                </c:pt>
                <c:pt idx="3">
                  <c:v>658</c:v>
                </c:pt>
                <c:pt idx="4">
                  <c:v>665</c:v>
                </c:pt>
                <c:pt idx="5">
                  <c:v>686.2</c:v>
                </c:pt>
                <c:pt idx="6">
                  <c:v>686</c:v>
                </c:pt>
                <c:pt idx="7">
                  <c:v>718.9</c:v>
                </c:pt>
                <c:pt idx="8">
                  <c:v>721.15</c:v>
                </c:pt>
                <c:pt idx="9">
                  <c:v>694.4</c:v>
                </c:pt>
                <c:pt idx="10">
                  <c:v>706.95</c:v>
                </c:pt>
                <c:pt idx="11">
                  <c:v>702.45</c:v>
                </c:pt>
                <c:pt idx="12">
                  <c:v>714</c:v>
                </c:pt>
                <c:pt idx="13">
                  <c:v>727.4</c:v>
                </c:pt>
                <c:pt idx="14">
                  <c:v>716.1</c:v>
                </c:pt>
                <c:pt idx="15">
                  <c:v>723.8</c:v>
                </c:pt>
                <c:pt idx="16">
                  <c:v>726.1</c:v>
                </c:pt>
                <c:pt idx="17">
                  <c:v>733.35</c:v>
                </c:pt>
                <c:pt idx="18">
                  <c:v>751.65</c:v>
                </c:pt>
                <c:pt idx="19">
                  <c:v>767.5</c:v>
                </c:pt>
                <c:pt idx="20">
                  <c:v>792.2</c:v>
                </c:pt>
                <c:pt idx="21">
                  <c:v>723.43200000000002</c:v>
                </c:pt>
                <c:pt idx="22">
                  <c:v>733.06799999999998</c:v>
                </c:pt>
                <c:pt idx="23">
                  <c:v>737.54499999999996</c:v>
                </c:pt>
                <c:pt idx="24">
                  <c:v>737.86400000000003</c:v>
                </c:pt>
                <c:pt idx="25">
                  <c:v>747.70500000000004</c:v>
                </c:pt>
                <c:pt idx="26">
                  <c:v>743.95500000000004</c:v>
                </c:pt>
                <c:pt idx="27">
                  <c:v>734.06799999999998</c:v>
                </c:pt>
                <c:pt idx="28">
                  <c:v>747.18200000000002</c:v>
                </c:pt>
                <c:pt idx="29">
                  <c:v>727.22699999999998</c:v>
                </c:pt>
                <c:pt idx="30">
                  <c:v>724.72699999999998</c:v>
                </c:pt>
                <c:pt idx="31">
                  <c:v>737.88599999999997</c:v>
                </c:pt>
                <c:pt idx="32">
                  <c:v>737.31799999999998</c:v>
                </c:pt>
                <c:pt idx="33">
                  <c:v>763.81799999999998</c:v>
                </c:pt>
                <c:pt idx="34">
                  <c:v>787.59100000000001</c:v>
                </c:pt>
                <c:pt idx="35">
                  <c:v>790.68200000000002</c:v>
                </c:pt>
                <c:pt idx="36">
                  <c:v>803.02300000000002</c:v>
                </c:pt>
                <c:pt idx="37">
                  <c:v>790.15899999999999</c:v>
                </c:pt>
                <c:pt idx="38">
                  <c:v>788.90899999999999</c:v>
                </c:pt>
                <c:pt idx="39">
                  <c:v>814.84100000000001</c:v>
                </c:pt>
                <c:pt idx="40">
                  <c:v>820.54499999999996</c:v>
                </c:pt>
                <c:pt idx="41">
                  <c:v>1224.357</c:v>
                </c:pt>
                <c:pt idx="42">
                  <c:v>1330.2139999999999</c:v>
                </c:pt>
                <c:pt idx="43">
                  <c:v>1494.357</c:v>
                </c:pt>
                <c:pt idx="44">
                  <c:v>926.64300000000003</c:v>
                </c:pt>
                <c:pt idx="45">
                  <c:v>1111.1790000000001</c:v>
                </c:pt>
                <c:pt idx="46">
                  <c:v>1131.393</c:v>
                </c:pt>
                <c:pt idx="47">
                  <c:v>1292.393</c:v>
                </c:pt>
                <c:pt idx="48">
                  <c:v>1291.5</c:v>
                </c:pt>
                <c:pt idx="49">
                  <c:v>1283.4639999999999</c:v>
                </c:pt>
                <c:pt idx="50">
                  <c:v>1476.2860000000001</c:v>
                </c:pt>
                <c:pt idx="51">
                  <c:v>1558.4290000000001</c:v>
                </c:pt>
                <c:pt idx="52">
                  <c:v>1509.6790000000001</c:v>
                </c:pt>
                <c:pt idx="53">
                  <c:v>1577.5360000000001</c:v>
                </c:pt>
                <c:pt idx="54">
                  <c:v>1628.9639999999999</c:v>
                </c:pt>
                <c:pt idx="55">
                  <c:v>1575.643</c:v>
                </c:pt>
                <c:pt idx="56">
                  <c:v>1485.4290000000001</c:v>
                </c:pt>
                <c:pt idx="57">
                  <c:v>1481.393</c:v>
                </c:pt>
                <c:pt idx="58">
                  <c:v>1379.7139999999999</c:v>
                </c:pt>
                <c:pt idx="59">
                  <c:v>1571.4639999999999</c:v>
                </c:pt>
                <c:pt idx="60">
                  <c:v>1601.5360000000001</c:v>
                </c:pt>
                <c:pt idx="61">
                  <c:v>1700.357</c:v>
                </c:pt>
                <c:pt idx="62">
                  <c:v>1667.1790000000001</c:v>
                </c:pt>
                <c:pt idx="63">
                  <c:v>1459.4169999999999</c:v>
                </c:pt>
                <c:pt idx="64">
                  <c:v>1614.25</c:v>
                </c:pt>
                <c:pt idx="65">
                  <c:v>1640.4169999999999</c:v>
                </c:pt>
                <c:pt idx="66">
                  <c:v>1402.75</c:v>
                </c:pt>
                <c:pt idx="67">
                  <c:v>1508.8330000000001</c:v>
                </c:pt>
                <c:pt idx="68">
                  <c:v>1426.6669999999999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8C-4504-B15F-D5B43EAA3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86016"/>
        <c:axId val="907214944"/>
      </c:lineChart>
      <c:lineChart>
        <c:grouping val="standard"/>
        <c:varyColors val="0"/>
        <c:ser>
          <c:idx val="7"/>
          <c:order val="2"/>
          <c:tx>
            <c:strRef>
              <c:f>'Spot vs Forwards'!$J$1</c:f>
              <c:strCache>
                <c:ptCount val="1"/>
                <c:pt idx="0">
                  <c:v>Jet Spot - Fwd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Forwards'!$J$2:$J$70</c:f>
              <c:numCache>
                <c:formatCode>General</c:formatCode>
                <c:ptCount val="69"/>
                <c:pt idx="0">
                  <c:v>25.149999999999977</c:v>
                </c:pt>
                <c:pt idx="1">
                  <c:v>23.899999999999977</c:v>
                </c:pt>
                <c:pt idx="2">
                  <c:v>28.299999999999955</c:v>
                </c:pt>
                <c:pt idx="3">
                  <c:v>27</c:v>
                </c:pt>
                <c:pt idx="4">
                  <c:v>26</c:v>
                </c:pt>
                <c:pt idx="5">
                  <c:v>26.799999999999955</c:v>
                </c:pt>
                <c:pt idx="6">
                  <c:v>26.75</c:v>
                </c:pt>
                <c:pt idx="7">
                  <c:v>24.350000000000023</c:v>
                </c:pt>
                <c:pt idx="8">
                  <c:v>22.600000000000023</c:v>
                </c:pt>
                <c:pt idx="9">
                  <c:v>25.350000000000023</c:v>
                </c:pt>
                <c:pt idx="10">
                  <c:v>24.799999999999955</c:v>
                </c:pt>
                <c:pt idx="11">
                  <c:v>23.799999999999955</c:v>
                </c:pt>
                <c:pt idx="12">
                  <c:v>22.75</c:v>
                </c:pt>
                <c:pt idx="13">
                  <c:v>22.100000000000023</c:v>
                </c:pt>
                <c:pt idx="14">
                  <c:v>12.399999999999977</c:v>
                </c:pt>
                <c:pt idx="15">
                  <c:v>9.7000000000000455</c:v>
                </c:pt>
                <c:pt idx="16">
                  <c:v>7.8999999999999773</c:v>
                </c:pt>
                <c:pt idx="17">
                  <c:v>7.6499999999999773</c:v>
                </c:pt>
                <c:pt idx="18">
                  <c:v>6.6000000000000227</c:v>
                </c:pt>
                <c:pt idx="19">
                  <c:v>6.75</c:v>
                </c:pt>
                <c:pt idx="20">
                  <c:v>7.7999999999999545</c:v>
                </c:pt>
                <c:pt idx="21">
                  <c:v>25.817999999999984</c:v>
                </c:pt>
                <c:pt idx="22">
                  <c:v>26.932000000000016</c:v>
                </c:pt>
                <c:pt idx="23">
                  <c:v>24.705000000000041</c:v>
                </c:pt>
                <c:pt idx="24">
                  <c:v>30.885999999999967</c:v>
                </c:pt>
                <c:pt idx="25">
                  <c:v>30.544999999999959</c:v>
                </c:pt>
                <c:pt idx="26">
                  <c:v>27.794999999999959</c:v>
                </c:pt>
                <c:pt idx="27">
                  <c:v>27.182000000000016</c:v>
                </c:pt>
                <c:pt idx="28">
                  <c:v>28.067999999999984</c:v>
                </c:pt>
                <c:pt idx="29">
                  <c:v>26.523000000000025</c:v>
                </c:pt>
                <c:pt idx="30">
                  <c:v>26.023000000000025</c:v>
                </c:pt>
                <c:pt idx="31">
                  <c:v>25.864000000000033</c:v>
                </c:pt>
                <c:pt idx="32">
                  <c:v>24.182000000000016</c:v>
                </c:pt>
                <c:pt idx="33">
                  <c:v>20.432000000000016</c:v>
                </c:pt>
                <c:pt idx="34">
                  <c:v>20.908999999999992</c:v>
                </c:pt>
                <c:pt idx="35">
                  <c:v>17.567999999999984</c:v>
                </c:pt>
                <c:pt idx="36">
                  <c:v>13.976999999999975</c:v>
                </c:pt>
                <c:pt idx="37">
                  <c:v>10.091000000000008</c:v>
                </c:pt>
                <c:pt idx="38">
                  <c:v>9.5910000000000082</c:v>
                </c:pt>
                <c:pt idx="39">
                  <c:v>11.908999999999992</c:v>
                </c:pt>
                <c:pt idx="40">
                  <c:v>10.705000000000041</c:v>
                </c:pt>
                <c:pt idx="41">
                  <c:v>174.89300000000003</c:v>
                </c:pt>
                <c:pt idx="42">
                  <c:v>170.53600000000006</c:v>
                </c:pt>
                <c:pt idx="43">
                  <c:v>135.89300000000003</c:v>
                </c:pt>
                <c:pt idx="44">
                  <c:v>68.606999999999971</c:v>
                </c:pt>
                <c:pt idx="45">
                  <c:v>112.07099999999991</c:v>
                </c:pt>
                <c:pt idx="46">
                  <c:v>128.35699999999997</c:v>
                </c:pt>
                <c:pt idx="47">
                  <c:v>169.60699999999997</c:v>
                </c:pt>
                <c:pt idx="48">
                  <c:v>185</c:v>
                </c:pt>
                <c:pt idx="49">
                  <c:v>179.53600000000006</c:v>
                </c:pt>
                <c:pt idx="50">
                  <c:v>130.96399999999994</c:v>
                </c:pt>
                <c:pt idx="51">
                  <c:v>139.57099999999991</c:v>
                </c:pt>
                <c:pt idx="52">
                  <c:v>154.82099999999991</c:v>
                </c:pt>
                <c:pt idx="53">
                  <c:v>140.21399999999994</c:v>
                </c:pt>
                <c:pt idx="54">
                  <c:v>145.28600000000006</c:v>
                </c:pt>
                <c:pt idx="55">
                  <c:v>145.10699999999997</c:v>
                </c:pt>
                <c:pt idx="56">
                  <c:v>100.82099999999991</c:v>
                </c:pt>
                <c:pt idx="57">
                  <c:v>76.856999999999971</c:v>
                </c:pt>
                <c:pt idx="58">
                  <c:v>78.036000000000058</c:v>
                </c:pt>
                <c:pt idx="59">
                  <c:v>79.286000000000058</c:v>
                </c:pt>
                <c:pt idx="60">
                  <c:v>102.96399999999994</c:v>
                </c:pt>
                <c:pt idx="61">
                  <c:v>64.893000000000029</c:v>
                </c:pt>
                <c:pt idx="62">
                  <c:v>58.570999999999913</c:v>
                </c:pt>
                <c:pt idx="63">
                  <c:v>150.83300000000008</c:v>
                </c:pt>
                <c:pt idx="64">
                  <c:v>228.25</c:v>
                </c:pt>
                <c:pt idx="65">
                  <c:v>135.83300000000008</c:v>
                </c:pt>
                <c:pt idx="66">
                  <c:v>83</c:v>
                </c:pt>
                <c:pt idx="67">
                  <c:v>71.416999999999916</c:v>
                </c:pt>
                <c:pt idx="68">
                  <c:v>42.833000000000084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8C-4504-B15F-D5B43EAA3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811360"/>
        <c:axId val="2075820960"/>
      </c:lineChart>
      <c:dateAx>
        <c:axId val="609486016"/>
        <c:scaling>
          <c:orientation val="minMax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907214944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907214944"/>
        <c:scaling>
          <c:orientation val="minMax"/>
          <c:max val="19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&quot; /mT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609486016"/>
        <c:crosses val="autoZero"/>
        <c:crossBetween val="between"/>
      </c:valAx>
      <c:valAx>
        <c:axId val="2075820960"/>
        <c:scaling>
          <c:orientation val="minMax"/>
        </c:scaling>
        <c:delete val="0"/>
        <c:axPos val="r"/>
        <c:numFmt formatCode="[$$-409]#,##0&quot; /mT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2075811360"/>
        <c:crosses val="max"/>
        <c:crossBetween val="between"/>
      </c:valAx>
      <c:dateAx>
        <c:axId val="20758113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758209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'Spot vs Forwards'!$C$1</c:f>
              <c:strCache>
                <c:ptCount val="1"/>
                <c:pt idx="0">
                  <c:v>Diesel Spot</c:v>
                </c:pt>
              </c:strCache>
            </c:strRef>
          </c:tx>
          <c:spPr>
            <a:ln w="15875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Forwards'!$C$2:$C$70</c:f>
              <c:numCache>
                <c:formatCode>General</c:formatCode>
                <c:ptCount val="69"/>
                <c:pt idx="0">
                  <c:v>624.25</c:v>
                </c:pt>
                <c:pt idx="1">
                  <c:v>636.5</c:v>
                </c:pt>
                <c:pt idx="2">
                  <c:v>628.75</c:v>
                </c:pt>
                <c:pt idx="3">
                  <c:v>615.5</c:v>
                </c:pt>
                <c:pt idx="4">
                  <c:v>625.25</c:v>
                </c:pt>
                <c:pt idx="5">
                  <c:v>645.5</c:v>
                </c:pt>
                <c:pt idx="6">
                  <c:v>638.25</c:v>
                </c:pt>
                <c:pt idx="7">
                  <c:v>666.75</c:v>
                </c:pt>
                <c:pt idx="8">
                  <c:v>671.75</c:v>
                </c:pt>
                <c:pt idx="9">
                  <c:v>653.75</c:v>
                </c:pt>
                <c:pt idx="10">
                  <c:v>666.75</c:v>
                </c:pt>
                <c:pt idx="11">
                  <c:v>664</c:v>
                </c:pt>
                <c:pt idx="12">
                  <c:v>678.5</c:v>
                </c:pt>
                <c:pt idx="13">
                  <c:v>698</c:v>
                </c:pt>
                <c:pt idx="14">
                  <c:v>684</c:v>
                </c:pt>
                <c:pt idx="15">
                  <c:v>687.75</c:v>
                </c:pt>
                <c:pt idx="16">
                  <c:v>690</c:v>
                </c:pt>
                <c:pt idx="17">
                  <c:v>692.25</c:v>
                </c:pt>
                <c:pt idx="18">
                  <c:v>706.75</c:v>
                </c:pt>
                <c:pt idx="19">
                  <c:v>723</c:v>
                </c:pt>
                <c:pt idx="20">
                  <c:v>754.5</c:v>
                </c:pt>
                <c:pt idx="21">
                  <c:v>695.75</c:v>
                </c:pt>
                <c:pt idx="22">
                  <c:v>697.75</c:v>
                </c:pt>
                <c:pt idx="23">
                  <c:v>698.75</c:v>
                </c:pt>
                <c:pt idx="24">
                  <c:v>700.5</c:v>
                </c:pt>
                <c:pt idx="25">
                  <c:v>712.25</c:v>
                </c:pt>
                <c:pt idx="26">
                  <c:v>707.25</c:v>
                </c:pt>
                <c:pt idx="27">
                  <c:v>696.75</c:v>
                </c:pt>
                <c:pt idx="28">
                  <c:v>713.75</c:v>
                </c:pt>
                <c:pt idx="29">
                  <c:v>692.5</c:v>
                </c:pt>
                <c:pt idx="30">
                  <c:v>690.5</c:v>
                </c:pt>
                <c:pt idx="31">
                  <c:v>695.25</c:v>
                </c:pt>
                <c:pt idx="32">
                  <c:v>689</c:v>
                </c:pt>
                <c:pt idx="33">
                  <c:v>715.25</c:v>
                </c:pt>
                <c:pt idx="34">
                  <c:v>744.5</c:v>
                </c:pt>
                <c:pt idx="35">
                  <c:v>748.75</c:v>
                </c:pt>
                <c:pt idx="36">
                  <c:v>761.25</c:v>
                </c:pt>
                <c:pt idx="37">
                  <c:v>748.5</c:v>
                </c:pt>
                <c:pt idx="38">
                  <c:v>745</c:v>
                </c:pt>
                <c:pt idx="39">
                  <c:v>767.25</c:v>
                </c:pt>
                <c:pt idx="40">
                  <c:v>767.5</c:v>
                </c:pt>
                <c:pt idx="41">
                  <c:v>1068</c:v>
                </c:pt>
                <c:pt idx="42">
                  <c:v>1142</c:v>
                </c:pt>
                <c:pt idx="43">
                  <c:v>1216</c:v>
                </c:pt>
                <c:pt idx="44">
                  <c:v>890.5</c:v>
                </c:pt>
                <c:pt idx="45">
                  <c:v>1020.75</c:v>
                </c:pt>
                <c:pt idx="46">
                  <c:v>1012</c:v>
                </c:pt>
                <c:pt idx="47">
                  <c:v>1135.75</c:v>
                </c:pt>
                <c:pt idx="48">
                  <c:v>1178.25</c:v>
                </c:pt>
                <c:pt idx="49">
                  <c:v>1194.75</c:v>
                </c:pt>
                <c:pt idx="50">
                  <c:v>1230</c:v>
                </c:pt>
                <c:pt idx="51">
                  <c:v>1255.25</c:v>
                </c:pt>
                <c:pt idx="52">
                  <c:v>1259</c:v>
                </c:pt>
                <c:pt idx="53">
                  <c:v>1364.25</c:v>
                </c:pt>
                <c:pt idx="54">
                  <c:v>1469.75</c:v>
                </c:pt>
                <c:pt idx="55">
                  <c:v>1513.25</c:v>
                </c:pt>
                <c:pt idx="56">
                  <c:v>1397.5</c:v>
                </c:pt>
                <c:pt idx="57">
                  <c:v>1389</c:v>
                </c:pt>
                <c:pt idx="58">
                  <c:v>1288</c:v>
                </c:pt>
                <c:pt idx="59">
                  <c:v>1417</c:v>
                </c:pt>
                <c:pt idx="60">
                  <c:v>1442</c:v>
                </c:pt>
                <c:pt idx="61">
                  <c:v>1461.75</c:v>
                </c:pt>
                <c:pt idx="62">
                  <c:v>1411.25</c:v>
                </c:pt>
                <c:pt idx="63">
                  <c:v>1406.5</c:v>
                </c:pt>
                <c:pt idx="64">
                  <c:v>1617</c:v>
                </c:pt>
                <c:pt idx="65">
                  <c:v>1558.25</c:v>
                </c:pt>
                <c:pt idx="66">
                  <c:v>1280</c:v>
                </c:pt>
                <c:pt idx="67">
                  <c:v>1425</c:v>
                </c:pt>
                <c:pt idx="68">
                  <c:v>1335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D-4892-B776-98F987F8F8EF}"/>
            </c:ext>
          </c:extLst>
        </c:ser>
        <c:ser>
          <c:idx val="1"/>
          <c:order val="1"/>
          <c:tx>
            <c:strRef>
              <c:f>'Spot vs Forwards'!$B$1</c:f>
              <c:strCache>
                <c:ptCount val="1"/>
                <c:pt idx="0">
                  <c:v>Jet Spot</c:v>
                </c:pt>
              </c:strCache>
            </c:strRef>
          </c:tx>
          <c:spPr>
            <a:ln w="15875">
              <a:solidFill>
                <a:sysClr val="window" lastClr="FFFFFF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Forwards'!$B$2:$B$70</c:f>
              <c:numCache>
                <c:formatCode>General</c:formatCode>
                <c:ptCount val="69"/>
                <c:pt idx="0">
                  <c:v>679.25</c:v>
                </c:pt>
                <c:pt idx="1">
                  <c:v>693</c:v>
                </c:pt>
                <c:pt idx="2">
                  <c:v>693.75</c:v>
                </c:pt>
                <c:pt idx="3">
                  <c:v>685</c:v>
                </c:pt>
                <c:pt idx="4">
                  <c:v>691</c:v>
                </c:pt>
                <c:pt idx="5">
                  <c:v>713</c:v>
                </c:pt>
                <c:pt idx="6">
                  <c:v>712.75</c:v>
                </c:pt>
                <c:pt idx="7">
                  <c:v>743.25</c:v>
                </c:pt>
                <c:pt idx="8">
                  <c:v>743.75</c:v>
                </c:pt>
                <c:pt idx="9">
                  <c:v>719.75</c:v>
                </c:pt>
                <c:pt idx="10">
                  <c:v>731.75</c:v>
                </c:pt>
                <c:pt idx="11">
                  <c:v>726.25</c:v>
                </c:pt>
                <c:pt idx="12">
                  <c:v>736.75</c:v>
                </c:pt>
                <c:pt idx="13">
                  <c:v>749.5</c:v>
                </c:pt>
                <c:pt idx="14">
                  <c:v>728.5</c:v>
                </c:pt>
                <c:pt idx="15">
                  <c:v>733.5</c:v>
                </c:pt>
                <c:pt idx="16">
                  <c:v>734</c:v>
                </c:pt>
                <c:pt idx="17">
                  <c:v>741</c:v>
                </c:pt>
                <c:pt idx="18">
                  <c:v>758.25</c:v>
                </c:pt>
                <c:pt idx="19">
                  <c:v>774.25</c:v>
                </c:pt>
                <c:pt idx="20">
                  <c:v>800</c:v>
                </c:pt>
                <c:pt idx="21">
                  <c:v>749.25</c:v>
                </c:pt>
                <c:pt idx="22">
                  <c:v>760</c:v>
                </c:pt>
                <c:pt idx="23">
                  <c:v>762.25</c:v>
                </c:pt>
                <c:pt idx="24">
                  <c:v>768.75</c:v>
                </c:pt>
                <c:pt idx="25">
                  <c:v>778.25</c:v>
                </c:pt>
                <c:pt idx="26">
                  <c:v>771.75</c:v>
                </c:pt>
                <c:pt idx="27">
                  <c:v>761.25</c:v>
                </c:pt>
                <c:pt idx="28">
                  <c:v>775.25</c:v>
                </c:pt>
                <c:pt idx="29">
                  <c:v>753.75</c:v>
                </c:pt>
                <c:pt idx="30">
                  <c:v>750.75</c:v>
                </c:pt>
                <c:pt idx="31">
                  <c:v>763.75</c:v>
                </c:pt>
                <c:pt idx="32">
                  <c:v>761.5</c:v>
                </c:pt>
                <c:pt idx="33">
                  <c:v>784.25</c:v>
                </c:pt>
                <c:pt idx="34">
                  <c:v>808.5</c:v>
                </c:pt>
                <c:pt idx="35">
                  <c:v>808.25</c:v>
                </c:pt>
                <c:pt idx="36">
                  <c:v>817</c:v>
                </c:pt>
                <c:pt idx="37">
                  <c:v>800.25</c:v>
                </c:pt>
                <c:pt idx="38">
                  <c:v>798.5</c:v>
                </c:pt>
                <c:pt idx="39">
                  <c:v>826.75</c:v>
                </c:pt>
                <c:pt idx="40">
                  <c:v>831.25</c:v>
                </c:pt>
                <c:pt idx="41">
                  <c:v>1399.25</c:v>
                </c:pt>
                <c:pt idx="42">
                  <c:v>1500.75</c:v>
                </c:pt>
                <c:pt idx="43">
                  <c:v>1630.25</c:v>
                </c:pt>
                <c:pt idx="44">
                  <c:v>995.25</c:v>
                </c:pt>
                <c:pt idx="45">
                  <c:v>1223.25</c:v>
                </c:pt>
                <c:pt idx="46">
                  <c:v>1259.75</c:v>
                </c:pt>
                <c:pt idx="47">
                  <c:v>1462</c:v>
                </c:pt>
                <c:pt idx="48">
                  <c:v>1476.5</c:v>
                </c:pt>
                <c:pt idx="49">
                  <c:v>1463</c:v>
                </c:pt>
                <c:pt idx="50">
                  <c:v>1607.25</c:v>
                </c:pt>
                <c:pt idx="51">
                  <c:v>1698</c:v>
                </c:pt>
                <c:pt idx="52">
                  <c:v>1664.5</c:v>
                </c:pt>
                <c:pt idx="53">
                  <c:v>1717.75</c:v>
                </c:pt>
                <c:pt idx="54">
                  <c:v>1774.25</c:v>
                </c:pt>
                <c:pt idx="55">
                  <c:v>1720.75</c:v>
                </c:pt>
                <c:pt idx="56">
                  <c:v>1586.25</c:v>
                </c:pt>
                <c:pt idx="57">
                  <c:v>1558.25</c:v>
                </c:pt>
                <c:pt idx="58">
                  <c:v>1457.75</c:v>
                </c:pt>
                <c:pt idx="59">
                  <c:v>1650.75</c:v>
                </c:pt>
                <c:pt idx="60">
                  <c:v>1704.5</c:v>
                </c:pt>
                <c:pt idx="61">
                  <c:v>1765.25</c:v>
                </c:pt>
                <c:pt idx="62">
                  <c:v>1725.75</c:v>
                </c:pt>
                <c:pt idx="63">
                  <c:v>1610.25</c:v>
                </c:pt>
                <c:pt idx="64">
                  <c:v>1842.5</c:v>
                </c:pt>
                <c:pt idx="65">
                  <c:v>1776.25</c:v>
                </c:pt>
                <c:pt idx="66">
                  <c:v>1485.75</c:v>
                </c:pt>
                <c:pt idx="67">
                  <c:v>1580.25</c:v>
                </c:pt>
                <c:pt idx="68">
                  <c:v>1469.5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5D-4892-B776-98F987F8F8EF}"/>
            </c:ext>
          </c:extLst>
        </c:ser>
        <c:ser>
          <c:idx val="4"/>
          <c:order val="2"/>
          <c:tx>
            <c:strRef>
              <c:f>'Spot vs Forwards'!$H$1</c:f>
              <c:strCache>
                <c:ptCount val="1"/>
                <c:pt idx="0">
                  <c:v>NYH Diesel Forward</c:v>
                </c:pt>
              </c:strCache>
            </c:strRef>
          </c:tx>
          <c:spPr>
            <a:ln w="15875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Forwards'!$H$2:$H$70</c:f>
              <c:numCache>
                <c:formatCode>General</c:formatCode>
                <c:ptCount val="69"/>
                <c:pt idx="0">
                  <c:v>661.00192581516933</c:v>
                </c:pt>
                <c:pt idx="1">
                  <c:v>669.6586102958463</c:v>
                </c:pt>
                <c:pt idx="2">
                  <c:v>650.97017231951088</c:v>
                </c:pt>
                <c:pt idx="3">
                  <c:v>642.7510097981459</c:v>
                </c:pt>
                <c:pt idx="4">
                  <c:v>662.37699483015058</c:v>
                </c:pt>
                <c:pt idx="5">
                  <c:v>667.22098795110696</c:v>
                </c:pt>
                <c:pt idx="6">
                  <c:v>673.28379224443313</c:v>
                </c:pt>
                <c:pt idx="7">
                  <c:v>699.53510980316526</c:v>
                </c:pt>
                <c:pt idx="8">
                  <c:v>713.12954211036572</c:v>
                </c:pt>
                <c:pt idx="9">
                  <c:v>690.12838767795301</c:v>
                </c:pt>
                <c:pt idx="10">
                  <c:v>699.28509725498691</c:v>
                </c:pt>
                <c:pt idx="11">
                  <c:v>709.69186957291288</c:v>
                </c:pt>
                <c:pt idx="12">
                  <c:v>730.81792989398775</c:v>
                </c:pt>
                <c:pt idx="13">
                  <c:v>759.56937293450392</c:v>
                </c:pt>
                <c:pt idx="14">
                  <c:v>739.6621237857986</c:v>
                </c:pt>
                <c:pt idx="15">
                  <c:v>758.94434156405782</c:v>
                </c:pt>
                <c:pt idx="16">
                  <c:v>802.54027965266641</c:v>
                </c:pt>
                <c:pt idx="17">
                  <c:v>826.97900623710507</c:v>
                </c:pt>
                <c:pt idx="18">
                  <c:v>833.19806837304282</c:v>
                </c:pt>
                <c:pt idx="19">
                  <c:v>807.97805257554649</c:v>
                </c:pt>
                <c:pt idx="20">
                  <c:v>791.60223066986134</c:v>
                </c:pt>
                <c:pt idx="21">
                  <c:v>737.47451398923761</c:v>
                </c:pt>
                <c:pt idx="22">
                  <c:v>752.94404040777613</c:v>
                </c:pt>
                <c:pt idx="23">
                  <c:v>771.9137425008123</c:v>
                </c:pt>
                <c:pt idx="24">
                  <c:v>747.91253787568587</c:v>
                </c:pt>
                <c:pt idx="25">
                  <c:v>754.19410314866809</c:v>
                </c:pt>
                <c:pt idx="26">
                  <c:v>755.31915961547099</c:v>
                </c:pt>
                <c:pt idx="27">
                  <c:v>749.66262571293464</c:v>
                </c:pt>
                <c:pt idx="28">
                  <c:v>762.66327821821142</c:v>
                </c:pt>
                <c:pt idx="29">
                  <c:v>747.75628003307429</c:v>
                </c:pt>
                <c:pt idx="30">
                  <c:v>746.25620474400398</c:v>
                </c:pt>
                <c:pt idx="31">
                  <c:v>753.38156236708835</c:v>
                </c:pt>
                <c:pt idx="32">
                  <c:v>747.09999709410602</c:v>
                </c:pt>
                <c:pt idx="33">
                  <c:v>787.13325637117248</c:v>
                </c:pt>
                <c:pt idx="34">
                  <c:v>817.13476215258049</c:v>
                </c:pt>
                <c:pt idx="35">
                  <c:v>808.10305884963566</c:v>
                </c:pt>
                <c:pt idx="36">
                  <c:v>836.979508164241</c:v>
                </c:pt>
                <c:pt idx="37">
                  <c:v>839.6983946256812</c:v>
                </c:pt>
                <c:pt idx="38">
                  <c:v>835.66694228630456</c:v>
                </c:pt>
                <c:pt idx="39">
                  <c:v>816.44722764508981</c:v>
                </c:pt>
                <c:pt idx="40">
                  <c:v>811.29071883891049</c:v>
                </c:pt>
                <c:pt idx="41">
                  <c:v>1045.8649921672948</c:v>
                </c:pt>
                <c:pt idx="42">
                  <c:v>1149.6827027983759</c:v>
                </c:pt>
                <c:pt idx="43">
                  <c:v>1218.4674051159582</c:v>
                </c:pt>
                <c:pt idx="44">
                  <c:v>906.42049342079179</c:v>
                </c:pt>
                <c:pt idx="45">
                  <c:v>995.95623723718165</c:v>
                </c:pt>
                <c:pt idx="46">
                  <c:v>1029.3641639875204</c:v>
                </c:pt>
                <c:pt idx="47">
                  <c:v>1129.5254411014923</c:v>
                </c:pt>
                <c:pt idx="48">
                  <c:v>1132.0568181517983</c:v>
                </c:pt>
                <c:pt idx="49">
                  <c:v>1120.868756620815</c:v>
                </c:pt>
                <c:pt idx="50">
                  <c:v>1254.6567214647819</c:v>
                </c:pt>
                <c:pt idx="51">
                  <c:v>1199.2789420432659</c:v>
                </c:pt>
                <c:pt idx="52">
                  <c:v>1255.0004887185271</c:v>
                </c:pt>
                <c:pt idx="53">
                  <c:v>1311.8783434291133</c:v>
                </c:pt>
                <c:pt idx="54">
                  <c:v>1356.9431052382702</c:v>
                </c:pt>
                <c:pt idx="55">
                  <c:v>1440.1972837816775</c:v>
                </c:pt>
                <c:pt idx="56">
                  <c:v>1267.563619264492</c:v>
                </c:pt>
                <c:pt idx="57">
                  <c:v>1340.9735537233746</c:v>
                </c:pt>
                <c:pt idx="58">
                  <c:v>1252.0315897089088</c:v>
                </c:pt>
                <c:pt idx="59">
                  <c:v>1335.5045292319719</c:v>
                </c:pt>
                <c:pt idx="60">
                  <c:v>1404.9142629200005</c:v>
                </c:pt>
                <c:pt idx="61">
                  <c:v>1363.912205018743</c:v>
                </c:pt>
                <c:pt idx="62">
                  <c:v>1285.6270258703814</c:v>
                </c:pt>
                <c:pt idx="63">
                  <c:v>1267.8136318126706</c:v>
                </c:pt>
                <c:pt idx="64">
                  <c:v>1362.9121548260293</c:v>
                </c:pt>
                <c:pt idx="65">
                  <c:v>1399.2577290174645</c:v>
                </c:pt>
                <c:pt idx="66">
                  <c:v>1190.1847356032767</c:v>
                </c:pt>
                <c:pt idx="67">
                  <c:v>1230.3742527229545</c:v>
                </c:pt>
                <c:pt idx="68">
                  <c:v>1175.5590015348405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5D-4892-B776-98F987F8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486016"/>
        <c:axId val="907214944"/>
      </c:lineChart>
      <c:dateAx>
        <c:axId val="609486016"/>
        <c:scaling>
          <c:orientation val="minMax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07214944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907214944"/>
        <c:scaling>
          <c:orientation val="minMax"/>
          <c:max val="1900"/>
          <c:min val="600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round/>
            </a:ln>
            <a:effectLst/>
          </c:spPr>
        </c:majorGridlines>
        <c:numFmt formatCode="[$$-409]#,##0&quot; /mT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09486016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7.7728255666154947E-2"/>
          <c:y val="0.12965192843209578"/>
          <c:w val="0.67682860397167321"/>
          <c:h val="0.12276474344068762"/>
        </c:manualLayout>
      </c:layout>
      <c:overlay val="1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'Spot vs Forwards'!$F$1</c:f>
              <c:strCache>
                <c:ptCount val="1"/>
                <c:pt idx="0">
                  <c:v>Diesel Forward</c:v>
                </c:pt>
              </c:strCache>
            </c:strRef>
          </c:tx>
          <c:spPr>
            <a:ln w="15875">
              <a:solidFill>
                <a:srgbClr val="4EA72E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Forwards'!$F$2:$F$70</c:f>
              <c:numCache>
                <c:formatCode>General</c:formatCode>
                <c:ptCount val="69"/>
                <c:pt idx="0">
                  <c:v>615.6</c:v>
                </c:pt>
                <c:pt idx="1">
                  <c:v>626.85</c:v>
                </c:pt>
                <c:pt idx="2">
                  <c:v>619.70000000000005</c:v>
                </c:pt>
                <c:pt idx="3">
                  <c:v>607.75</c:v>
                </c:pt>
                <c:pt idx="4">
                  <c:v>616.25</c:v>
                </c:pt>
                <c:pt idx="5">
                  <c:v>638.45000000000005</c:v>
                </c:pt>
                <c:pt idx="6">
                  <c:v>634.25</c:v>
                </c:pt>
                <c:pt idx="7">
                  <c:v>661.65</c:v>
                </c:pt>
                <c:pt idx="8">
                  <c:v>666.4</c:v>
                </c:pt>
                <c:pt idx="9">
                  <c:v>648.15</c:v>
                </c:pt>
                <c:pt idx="10">
                  <c:v>662.2</c:v>
                </c:pt>
                <c:pt idx="11">
                  <c:v>659.2</c:v>
                </c:pt>
                <c:pt idx="12">
                  <c:v>673.75</c:v>
                </c:pt>
                <c:pt idx="13">
                  <c:v>690.4</c:v>
                </c:pt>
                <c:pt idx="14">
                  <c:v>677.1</c:v>
                </c:pt>
                <c:pt idx="15">
                  <c:v>681.3</c:v>
                </c:pt>
                <c:pt idx="16">
                  <c:v>683.85</c:v>
                </c:pt>
                <c:pt idx="17">
                  <c:v>686.35</c:v>
                </c:pt>
                <c:pt idx="18">
                  <c:v>701.65</c:v>
                </c:pt>
                <c:pt idx="19">
                  <c:v>718.25</c:v>
                </c:pt>
                <c:pt idx="20">
                  <c:v>744.7</c:v>
                </c:pt>
                <c:pt idx="21">
                  <c:v>677.68200000000002</c:v>
                </c:pt>
                <c:pt idx="22">
                  <c:v>683.56799999999998</c:v>
                </c:pt>
                <c:pt idx="23">
                  <c:v>686.29499999999996</c:v>
                </c:pt>
                <c:pt idx="24">
                  <c:v>686.61400000000003</c:v>
                </c:pt>
                <c:pt idx="25">
                  <c:v>698.245</c:v>
                </c:pt>
                <c:pt idx="26">
                  <c:v>694.70500000000004</c:v>
                </c:pt>
                <c:pt idx="27">
                  <c:v>686.06799999999998</c:v>
                </c:pt>
                <c:pt idx="28">
                  <c:v>700.43200000000002</c:v>
                </c:pt>
                <c:pt idx="29">
                  <c:v>680.97699999999998</c:v>
                </c:pt>
                <c:pt idx="30">
                  <c:v>678.47699999999998</c:v>
                </c:pt>
                <c:pt idx="31">
                  <c:v>685.13599999999997</c:v>
                </c:pt>
                <c:pt idx="32">
                  <c:v>678.06799999999998</c:v>
                </c:pt>
                <c:pt idx="33">
                  <c:v>704.06799999999998</c:v>
                </c:pt>
                <c:pt idx="34">
                  <c:v>731.09100000000001</c:v>
                </c:pt>
                <c:pt idx="35">
                  <c:v>737.43200000000002</c:v>
                </c:pt>
                <c:pt idx="36">
                  <c:v>751.52300000000002</c:v>
                </c:pt>
                <c:pt idx="37">
                  <c:v>736.90899999999999</c:v>
                </c:pt>
                <c:pt idx="38">
                  <c:v>734.15899999999999</c:v>
                </c:pt>
                <c:pt idx="39">
                  <c:v>756.59100000000001</c:v>
                </c:pt>
                <c:pt idx="40">
                  <c:v>757.79499999999996</c:v>
                </c:pt>
                <c:pt idx="41">
                  <c:v>961.35699999999997</c:v>
                </c:pt>
                <c:pt idx="42">
                  <c:v>1025.2139999999999</c:v>
                </c:pt>
                <c:pt idx="43">
                  <c:v>1104.357</c:v>
                </c:pt>
                <c:pt idx="44">
                  <c:v>845.14300000000003</c:v>
                </c:pt>
                <c:pt idx="45">
                  <c:v>934.92899999999997</c:v>
                </c:pt>
                <c:pt idx="46">
                  <c:v>901.39300000000003</c:v>
                </c:pt>
                <c:pt idx="47">
                  <c:v>982.39300000000003</c:v>
                </c:pt>
                <c:pt idx="48">
                  <c:v>1026.5</c:v>
                </c:pt>
                <c:pt idx="49">
                  <c:v>1050.4639999999999</c:v>
                </c:pt>
                <c:pt idx="50">
                  <c:v>1107.2860000000001</c:v>
                </c:pt>
                <c:pt idx="51">
                  <c:v>1131.4290000000001</c:v>
                </c:pt>
                <c:pt idx="52">
                  <c:v>1133.6790000000001</c:v>
                </c:pt>
                <c:pt idx="53">
                  <c:v>1222.5360000000001</c:v>
                </c:pt>
                <c:pt idx="54">
                  <c:v>1298.9639999999999</c:v>
                </c:pt>
                <c:pt idx="55">
                  <c:v>1320.643</c:v>
                </c:pt>
                <c:pt idx="56">
                  <c:v>1260.4290000000001</c:v>
                </c:pt>
                <c:pt idx="57">
                  <c:v>1264.393</c:v>
                </c:pt>
                <c:pt idx="58">
                  <c:v>1166.7139999999999</c:v>
                </c:pt>
                <c:pt idx="59">
                  <c:v>1299.4639999999999</c:v>
                </c:pt>
                <c:pt idx="60">
                  <c:v>1322.5360000000001</c:v>
                </c:pt>
                <c:pt idx="61">
                  <c:v>1356.357</c:v>
                </c:pt>
                <c:pt idx="62">
                  <c:v>1334.1790000000001</c:v>
                </c:pt>
                <c:pt idx="63">
                  <c:v>1176.4169999999999</c:v>
                </c:pt>
                <c:pt idx="64">
                  <c:v>1262.25</c:v>
                </c:pt>
                <c:pt idx="65">
                  <c:v>1320.4169999999999</c:v>
                </c:pt>
                <c:pt idx="66">
                  <c:v>1127.75</c:v>
                </c:pt>
                <c:pt idx="67">
                  <c:v>1203.8330000000001</c:v>
                </c:pt>
                <c:pt idx="68">
                  <c:v>1128.1669999999999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E-405F-BC87-49F371487AF0}"/>
            </c:ext>
          </c:extLst>
        </c:ser>
        <c:ser>
          <c:idx val="1"/>
          <c:order val="1"/>
          <c:tx>
            <c:strRef>
              <c:f>'Spot vs Forwards'!$G$1</c:f>
              <c:strCache>
                <c:ptCount val="1"/>
                <c:pt idx="0">
                  <c:v>Jet Forward</c:v>
                </c:pt>
              </c:strCache>
            </c:strRef>
          </c:tx>
          <c:spPr>
            <a:ln w="19050">
              <a:solidFill>
                <a:sysClr val="window" lastClr="FFFFFF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Forwards'!$G$2:$G$70</c:f>
              <c:numCache>
                <c:formatCode>General</c:formatCode>
                <c:ptCount val="69"/>
                <c:pt idx="0">
                  <c:v>654.1</c:v>
                </c:pt>
                <c:pt idx="1">
                  <c:v>669.1</c:v>
                </c:pt>
                <c:pt idx="2">
                  <c:v>665.45</c:v>
                </c:pt>
                <c:pt idx="3">
                  <c:v>658</c:v>
                </c:pt>
                <c:pt idx="4">
                  <c:v>665</c:v>
                </c:pt>
                <c:pt idx="5">
                  <c:v>686.2</c:v>
                </c:pt>
                <c:pt idx="6">
                  <c:v>686</c:v>
                </c:pt>
                <c:pt idx="7">
                  <c:v>718.9</c:v>
                </c:pt>
                <c:pt idx="8">
                  <c:v>721.15</c:v>
                </c:pt>
                <c:pt idx="9">
                  <c:v>694.4</c:v>
                </c:pt>
                <c:pt idx="10">
                  <c:v>706.95</c:v>
                </c:pt>
                <c:pt idx="11">
                  <c:v>702.45</c:v>
                </c:pt>
                <c:pt idx="12">
                  <c:v>714</c:v>
                </c:pt>
                <c:pt idx="13">
                  <c:v>727.4</c:v>
                </c:pt>
                <c:pt idx="14">
                  <c:v>716.1</c:v>
                </c:pt>
                <c:pt idx="15">
                  <c:v>723.8</c:v>
                </c:pt>
                <c:pt idx="16">
                  <c:v>726.1</c:v>
                </c:pt>
                <c:pt idx="17">
                  <c:v>733.35</c:v>
                </c:pt>
                <c:pt idx="18">
                  <c:v>751.65</c:v>
                </c:pt>
                <c:pt idx="19">
                  <c:v>767.5</c:v>
                </c:pt>
                <c:pt idx="20">
                  <c:v>792.2</c:v>
                </c:pt>
                <c:pt idx="21">
                  <c:v>723.43200000000002</c:v>
                </c:pt>
                <c:pt idx="22">
                  <c:v>733.06799999999998</c:v>
                </c:pt>
                <c:pt idx="23">
                  <c:v>737.54499999999996</c:v>
                </c:pt>
                <c:pt idx="24">
                  <c:v>737.86400000000003</c:v>
                </c:pt>
                <c:pt idx="25">
                  <c:v>747.70500000000004</c:v>
                </c:pt>
                <c:pt idx="26">
                  <c:v>743.95500000000004</c:v>
                </c:pt>
                <c:pt idx="27">
                  <c:v>734.06799999999998</c:v>
                </c:pt>
                <c:pt idx="28">
                  <c:v>747.18200000000002</c:v>
                </c:pt>
                <c:pt idx="29">
                  <c:v>727.22699999999998</c:v>
                </c:pt>
                <c:pt idx="30">
                  <c:v>724.72699999999998</c:v>
                </c:pt>
                <c:pt idx="31">
                  <c:v>737.88599999999997</c:v>
                </c:pt>
                <c:pt idx="32">
                  <c:v>737.31799999999998</c:v>
                </c:pt>
                <c:pt idx="33">
                  <c:v>763.81799999999998</c:v>
                </c:pt>
                <c:pt idx="34">
                  <c:v>787.59100000000001</c:v>
                </c:pt>
                <c:pt idx="35">
                  <c:v>790.68200000000002</c:v>
                </c:pt>
                <c:pt idx="36">
                  <c:v>803.02300000000002</c:v>
                </c:pt>
                <c:pt idx="37">
                  <c:v>790.15899999999999</c:v>
                </c:pt>
                <c:pt idx="38">
                  <c:v>788.90899999999999</c:v>
                </c:pt>
                <c:pt idx="39">
                  <c:v>814.84100000000001</c:v>
                </c:pt>
                <c:pt idx="40">
                  <c:v>820.54499999999996</c:v>
                </c:pt>
                <c:pt idx="41">
                  <c:v>1224.357</c:v>
                </c:pt>
                <c:pt idx="42">
                  <c:v>1330.2139999999999</c:v>
                </c:pt>
                <c:pt idx="43">
                  <c:v>1494.357</c:v>
                </c:pt>
                <c:pt idx="44">
                  <c:v>926.64300000000003</c:v>
                </c:pt>
                <c:pt idx="45">
                  <c:v>1111.1790000000001</c:v>
                </c:pt>
                <c:pt idx="46">
                  <c:v>1131.393</c:v>
                </c:pt>
                <c:pt idx="47">
                  <c:v>1292.393</c:v>
                </c:pt>
                <c:pt idx="48">
                  <c:v>1291.5</c:v>
                </c:pt>
                <c:pt idx="49">
                  <c:v>1283.4639999999999</c:v>
                </c:pt>
                <c:pt idx="50">
                  <c:v>1476.2860000000001</c:v>
                </c:pt>
                <c:pt idx="51">
                  <c:v>1558.4290000000001</c:v>
                </c:pt>
                <c:pt idx="52">
                  <c:v>1509.6790000000001</c:v>
                </c:pt>
                <c:pt idx="53">
                  <c:v>1577.5360000000001</c:v>
                </c:pt>
                <c:pt idx="54">
                  <c:v>1628.9639999999999</c:v>
                </c:pt>
                <c:pt idx="55">
                  <c:v>1575.643</c:v>
                </c:pt>
                <c:pt idx="56">
                  <c:v>1485.4290000000001</c:v>
                </c:pt>
                <c:pt idx="57">
                  <c:v>1481.393</c:v>
                </c:pt>
                <c:pt idx="58">
                  <c:v>1379.7139999999999</c:v>
                </c:pt>
                <c:pt idx="59">
                  <c:v>1571.4639999999999</c:v>
                </c:pt>
                <c:pt idx="60">
                  <c:v>1601.5360000000001</c:v>
                </c:pt>
                <c:pt idx="61">
                  <c:v>1700.357</c:v>
                </c:pt>
                <c:pt idx="62">
                  <c:v>1667.1790000000001</c:v>
                </c:pt>
                <c:pt idx="63">
                  <c:v>1459.4169999999999</c:v>
                </c:pt>
                <c:pt idx="64">
                  <c:v>1614.25</c:v>
                </c:pt>
                <c:pt idx="65">
                  <c:v>1640.4169999999999</c:v>
                </c:pt>
                <c:pt idx="66">
                  <c:v>1402.75</c:v>
                </c:pt>
                <c:pt idx="67">
                  <c:v>1508.8330000000001</c:v>
                </c:pt>
                <c:pt idx="68">
                  <c:v>1426.6669999999999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E-405F-BC87-49F371487AF0}"/>
            </c:ext>
          </c:extLst>
        </c:ser>
        <c:ser>
          <c:idx val="4"/>
          <c:order val="2"/>
          <c:tx>
            <c:strRef>
              <c:f>'Spot vs Forwards'!$H$1</c:f>
              <c:strCache>
                <c:ptCount val="1"/>
                <c:pt idx="0">
                  <c:v>NYH Diesel Forward</c:v>
                </c:pt>
              </c:strCache>
            </c:strRef>
          </c:tx>
          <c:spPr>
            <a:ln w="15875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'Spot vs Forwards'!$A$2:$A$70</c:f>
              <c:numCache>
                <c:formatCode>m/d/yyyy</c:formatCode>
                <c:ptCount val="69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46041</c:v>
                </c:pt>
                <c:pt idx="12">
                  <c:v>46042</c:v>
                </c:pt>
                <c:pt idx="13">
                  <c:v>46043</c:v>
                </c:pt>
                <c:pt idx="14">
                  <c:v>46044</c:v>
                </c:pt>
                <c:pt idx="15">
                  <c:v>46045</c:v>
                </c:pt>
                <c:pt idx="16">
                  <c:v>46048</c:v>
                </c:pt>
                <c:pt idx="17">
                  <c:v>46049</c:v>
                </c:pt>
                <c:pt idx="18">
                  <c:v>46050</c:v>
                </c:pt>
                <c:pt idx="19">
                  <c:v>46051</c:v>
                </c:pt>
                <c:pt idx="20">
                  <c:v>46052</c:v>
                </c:pt>
                <c:pt idx="21">
                  <c:v>46055</c:v>
                </c:pt>
                <c:pt idx="22">
                  <c:v>46056</c:v>
                </c:pt>
                <c:pt idx="23">
                  <c:v>46057</c:v>
                </c:pt>
                <c:pt idx="24">
                  <c:v>46058</c:v>
                </c:pt>
                <c:pt idx="25">
                  <c:v>46059</c:v>
                </c:pt>
                <c:pt idx="26">
                  <c:v>46062</c:v>
                </c:pt>
                <c:pt idx="27">
                  <c:v>46063</c:v>
                </c:pt>
                <c:pt idx="28">
                  <c:v>46064</c:v>
                </c:pt>
                <c:pt idx="29">
                  <c:v>46065</c:v>
                </c:pt>
                <c:pt idx="30">
                  <c:v>46066</c:v>
                </c:pt>
                <c:pt idx="31">
                  <c:v>46069</c:v>
                </c:pt>
                <c:pt idx="32">
                  <c:v>46070</c:v>
                </c:pt>
                <c:pt idx="33">
                  <c:v>46071</c:v>
                </c:pt>
                <c:pt idx="34">
                  <c:v>46072</c:v>
                </c:pt>
                <c:pt idx="35">
                  <c:v>46073</c:v>
                </c:pt>
                <c:pt idx="36">
                  <c:v>46076</c:v>
                </c:pt>
                <c:pt idx="37">
                  <c:v>46077</c:v>
                </c:pt>
                <c:pt idx="38">
                  <c:v>46078</c:v>
                </c:pt>
                <c:pt idx="39">
                  <c:v>46079</c:v>
                </c:pt>
                <c:pt idx="40">
                  <c:v>46080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46083</c:v>
                </c:pt>
                <c:pt idx="45">
                  <c:v>46084</c:v>
                </c:pt>
                <c:pt idx="46">
                  <c:v>46085</c:v>
                </c:pt>
                <c:pt idx="47">
                  <c:v>46086</c:v>
                </c:pt>
                <c:pt idx="48">
                  <c:v>46087</c:v>
                </c:pt>
                <c:pt idx="49">
                  <c:v>46090</c:v>
                </c:pt>
                <c:pt idx="50">
                  <c:v>46094</c:v>
                </c:pt>
                <c:pt idx="51">
                  <c:v>46097</c:v>
                </c:pt>
                <c:pt idx="52">
                  <c:v>46098</c:v>
                </c:pt>
                <c:pt idx="53">
                  <c:v>46099</c:v>
                </c:pt>
                <c:pt idx="54">
                  <c:v>46100</c:v>
                </c:pt>
                <c:pt idx="55">
                  <c:v>46101</c:v>
                </c:pt>
                <c:pt idx="56">
                  <c:v>46104</c:v>
                </c:pt>
                <c:pt idx="57">
                  <c:v>46105</c:v>
                </c:pt>
                <c:pt idx="58">
                  <c:v>46106</c:v>
                </c:pt>
                <c:pt idx="59">
                  <c:v>46107</c:v>
                </c:pt>
                <c:pt idx="60">
                  <c:v>46108</c:v>
                </c:pt>
                <c:pt idx="61">
                  <c:v>46111</c:v>
                </c:pt>
                <c:pt idx="62">
                  <c:v>46112</c:v>
                </c:pt>
                <c:pt idx="63">
                  <c:v>46113</c:v>
                </c:pt>
                <c:pt idx="64">
                  <c:v>46114</c:v>
                </c:pt>
                <c:pt idx="65">
                  <c:v>46119</c:v>
                </c:pt>
                <c:pt idx="66">
                  <c:v>46120</c:v>
                </c:pt>
                <c:pt idx="67">
                  <c:v>46121</c:v>
                </c:pt>
                <c:pt idx="68">
                  <c:v>46122</c:v>
                </c:pt>
              </c:numCache>
            </c:numRef>
          </c:cat>
          <c:val>
            <c:numRef>
              <c:f>'Spot vs Forwards'!$H$2:$H$70</c:f>
              <c:numCache>
                <c:formatCode>General</c:formatCode>
                <c:ptCount val="69"/>
                <c:pt idx="0">
                  <c:v>661.00192581516933</c:v>
                </c:pt>
                <c:pt idx="1">
                  <c:v>669.6586102958463</c:v>
                </c:pt>
                <c:pt idx="2">
                  <c:v>650.97017231951088</c:v>
                </c:pt>
                <c:pt idx="3">
                  <c:v>642.7510097981459</c:v>
                </c:pt>
                <c:pt idx="4">
                  <c:v>662.37699483015058</c:v>
                </c:pt>
                <c:pt idx="5">
                  <c:v>667.22098795110696</c:v>
                </c:pt>
                <c:pt idx="6">
                  <c:v>673.28379224443313</c:v>
                </c:pt>
                <c:pt idx="7">
                  <c:v>699.53510980316526</c:v>
                </c:pt>
                <c:pt idx="8">
                  <c:v>713.12954211036572</c:v>
                </c:pt>
                <c:pt idx="9">
                  <c:v>690.12838767795301</c:v>
                </c:pt>
                <c:pt idx="10">
                  <c:v>699.28509725498691</c:v>
                </c:pt>
                <c:pt idx="11">
                  <c:v>709.69186957291288</c:v>
                </c:pt>
                <c:pt idx="12">
                  <c:v>730.81792989398775</c:v>
                </c:pt>
                <c:pt idx="13">
                  <c:v>759.56937293450392</c:v>
                </c:pt>
                <c:pt idx="14">
                  <c:v>739.6621237857986</c:v>
                </c:pt>
                <c:pt idx="15">
                  <c:v>758.94434156405782</c:v>
                </c:pt>
                <c:pt idx="16">
                  <c:v>802.54027965266641</c:v>
                </c:pt>
                <c:pt idx="17">
                  <c:v>826.97900623710507</c:v>
                </c:pt>
                <c:pt idx="18">
                  <c:v>833.19806837304282</c:v>
                </c:pt>
                <c:pt idx="19">
                  <c:v>807.97805257554649</c:v>
                </c:pt>
                <c:pt idx="20">
                  <c:v>791.60223066986134</c:v>
                </c:pt>
                <c:pt idx="21">
                  <c:v>737.47451398923761</c:v>
                </c:pt>
                <c:pt idx="22">
                  <c:v>752.94404040777613</c:v>
                </c:pt>
                <c:pt idx="23">
                  <c:v>771.9137425008123</c:v>
                </c:pt>
                <c:pt idx="24">
                  <c:v>747.91253787568587</c:v>
                </c:pt>
                <c:pt idx="25">
                  <c:v>754.19410314866809</c:v>
                </c:pt>
                <c:pt idx="26">
                  <c:v>755.31915961547099</c:v>
                </c:pt>
                <c:pt idx="27">
                  <c:v>749.66262571293464</c:v>
                </c:pt>
                <c:pt idx="28">
                  <c:v>762.66327821821142</c:v>
                </c:pt>
                <c:pt idx="29">
                  <c:v>747.75628003307429</c:v>
                </c:pt>
                <c:pt idx="30">
                  <c:v>746.25620474400398</c:v>
                </c:pt>
                <c:pt idx="31">
                  <c:v>753.38156236708835</c:v>
                </c:pt>
                <c:pt idx="32">
                  <c:v>747.09999709410602</c:v>
                </c:pt>
                <c:pt idx="33">
                  <c:v>787.13325637117248</c:v>
                </c:pt>
                <c:pt idx="34">
                  <c:v>817.13476215258049</c:v>
                </c:pt>
                <c:pt idx="35">
                  <c:v>808.10305884963566</c:v>
                </c:pt>
                <c:pt idx="36">
                  <c:v>836.979508164241</c:v>
                </c:pt>
                <c:pt idx="37">
                  <c:v>839.6983946256812</c:v>
                </c:pt>
                <c:pt idx="38">
                  <c:v>835.66694228630456</c:v>
                </c:pt>
                <c:pt idx="39">
                  <c:v>816.44722764508981</c:v>
                </c:pt>
                <c:pt idx="40">
                  <c:v>811.29071883891049</c:v>
                </c:pt>
                <c:pt idx="41">
                  <c:v>1045.8649921672948</c:v>
                </c:pt>
                <c:pt idx="42">
                  <c:v>1149.6827027983759</c:v>
                </c:pt>
                <c:pt idx="43">
                  <c:v>1218.4674051159582</c:v>
                </c:pt>
                <c:pt idx="44">
                  <c:v>906.42049342079179</c:v>
                </c:pt>
                <c:pt idx="45">
                  <c:v>995.95623723718165</c:v>
                </c:pt>
                <c:pt idx="46">
                  <c:v>1029.3641639875204</c:v>
                </c:pt>
                <c:pt idx="47">
                  <c:v>1129.5254411014923</c:v>
                </c:pt>
                <c:pt idx="48">
                  <c:v>1132.0568181517983</c:v>
                </c:pt>
                <c:pt idx="49">
                  <c:v>1120.868756620815</c:v>
                </c:pt>
                <c:pt idx="50">
                  <c:v>1254.6567214647819</c:v>
                </c:pt>
                <c:pt idx="51">
                  <c:v>1199.2789420432659</c:v>
                </c:pt>
                <c:pt idx="52">
                  <c:v>1255.0004887185271</c:v>
                </c:pt>
                <c:pt idx="53">
                  <c:v>1311.8783434291133</c:v>
                </c:pt>
                <c:pt idx="54">
                  <c:v>1356.9431052382702</c:v>
                </c:pt>
                <c:pt idx="55">
                  <c:v>1440.1972837816775</c:v>
                </c:pt>
                <c:pt idx="56">
                  <c:v>1267.563619264492</c:v>
                </c:pt>
                <c:pt idx="57">
                  <c:v>1340.9735537233746</c:v>
                </c:pt>
                <c:pt idx="58">
                  <c:v>1252.0315897089088</c:v>
                </c:pt>
                <c:pt idx="59">
                  <c:v>1335.5045292319719</c:v>
                </c:pt>
                <c:pt idx="60">
                  <c:v>1404.9142629200005</c:v>
                </c:pt>
                <c:pt idx="61">
                  <c:v>1363.912205018743</c:v>
                </c:pt>
                <c:pt idx="62">
                  <c:v>1285.6270258703814</c:v>
                </c:pt>
                <c:pt idx="63">
                  <c:v>1267.8136318126706</c:v>
                </c:pt>
                <c:pt idx="64">
                  <c:v>1362.9121548260293</c:v>
                </c:pt>
                <c:pt idx="65">
                  <c:v>1399.2577290174645</c:v>
                </c:pt>
                <c:pt idx="66">
                  <c:v>1190.1847356032767</c:v>
                </c:pt>
                <c:pt idx="67">
                  <c:v>1230.3742527229545</c:v>
                </c:pt>
                <c:pt idx="68">
                  <c:v>1175.5590015348405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E-405F-BC87-49F371487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486016"/>
        <c:axId val="907214944"/>
      </c:lineChart>
      <c:dateAx>
        <c:axId val="609486016"/>
        <c:scaling>
          <c:orientation val="minMax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07214944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907214944"/>
        <c:scaling>
          <c:orientation val="minMax"/>
          <c:max val="1900"/>
          <c:min val="600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round/>
            </a:ln>
            <a:effectLst/>
          </c:spPr>
        </c:majorGridlines>
        <c:numFmt formatCode="[$$-409]#,##0&quot; /mT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09486016"/>
        <c:crosses val="autoZero"/>
        <c:crossBetween val="between"/>
      </c:valAx>
      <c:spPr>
        <a:noFill/>
      </c:spPr>
    </c:plotArea>
    <c:legend>
      <c:legendPos val="b"/>
      <c:layout>
        <c:manualLayout>
          <c:xMode val="edge"/>
          <c:yMode val="edge"/>
          <c:x val="7.7728255666154947E-2"/>
          <c:y val="0.12965192843209578"/>
          <c:w val="0.67682860397167321"/>
          <c:h val="0.12276474344068762"/>
        </c:manualLayout>
      </c:layout>
      <c:overlay val="1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Values'!$B$1</c:f>
              <c:strCache>
                <c:ptCount val="1"/>
                <c:pt idx="0">
                  <c:v>Brent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Values'!$A$2:$A$132</c:f>
              <c:numCache>
                <c:formatCode>m/d/yyyy</c:formatCode>
                <c:ptCount val="131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  <c:pt idx="24">
                  <c:v>46844</c:v>
                </c:pt>
                <c:pt idx="25">
                  <c:v>46874</c:v>
                </c:pt>
                <c:pt idx="26">
                  <c:v>46905</c:v>
                </c:pt>
                <c:pt idx="27">
                  <c:v>46935</c:v>
                </c:pt>
                <c:pt idx="28">
                  <c:v>46966</c:v>
                </c:pt>
                <c:pt idx="29">
                  <c:v>46997</c:v>
                </c:pt>
                <c:pt idx="30">
                  <c:v>47027</c:v>
                </c:pt>
                <c:pt idx="31">
                  <c:v>47058</c:v>
                </c:pt>
                <c:pt idx="32">
                  <c:v>47088</c:v>
                </c:pt>
                <c:pt idx="33">
                  <c:v>47119</c:v>
                </c:pt>
                <c:pt idx="34">
                  <c:v>47150</c:v>
                </c:pt>
                <c:pt idx="35">
                  <c:v>47178</c:v>
                </c:pt>
                <c:pt idx="36">
                  <c:v>47209</c:v>
                </c:pt>
                <c:pt idx="37">
                  <c:v>47239</c:v>
                </c:pt>
                <c:pt idx="38">
                  <c:v>47270</c:v>
                </c:pt>
                <c:pt idx="39">
                  <c:v>47300</c:v>
                </c:pt>
                <c:pt idx="40">
                  <c:v>47331</c:v>
                </c:pt>
                <c:pt idx="41">
                  <c:v>47362</c:v>
                </c:pt>
                <c:pt idx="42">
                  <c:v>47392</c:v>
                </c:pt>
                <c:pt idx="43">
                  <c:v>47423</c:v>
                </c:pt>
                <c:pt idx="44">
                  <c:v>47453</c:v>
                </c:pt>
                <c:pt idx="45">
                  <c:v>47484</c:v>
                </c:pt>
                <c:pt idx="46">
                  <c:v>47515</c:v>
                </c:pt>
                <c:pt idx="47">
                  <c:v>47543</c:v>
                </c:pt>
                <c:pt idx="48">
                  <c:v>47574</c:v>
                </c:pt>
                <c:pt idx="49">
                  <c:v>47604</c:v>
                </c:pt>
                <c:pt idx="50">
                  <c:v>47635</c:v>
                </c:pt>
                <c:pt idx="51">
                  <c:v>47665</c:v>
                </c:pt>
                <c:pt idx="52">
                  <c:v>47696</c:v>
                </c:pt>
                <c:pt idx="53">
                  <c:v>47727</c:v>
                </c:pt>
                <c:pt idx="54">
                  <c:v>47757</c:v>
                </c:pt>
                <c:pt idx="55">
                  <c:v>47788</c:v>
                </c:pt>
                <c:pt idx="56">
                  <c:v>47818</c:v>
                </c:pt>
                <c:pt idx="57">
                  <c:v>47849</c:v>
                </c:pt>
                <c:pt idx="58">
                  <c:v>47880</c:v>
                </c:pt>
                <c:pt idx="59">
                  <c:v>47908</c:v>
                </c:pt>
                <c:pt idx="60">
                  <c:v>47939</c:v>
                </c:pt>
                <c:pt idx="61">
                  <c:v>47969</c:v>
                </c:pt>
                <c:pt idx="62">
                  <c:v>48000</c:v>
                </c:pt>
                <c:pt idx="63">
                  <c:v>48030</c:v>
                </c:pt>
                <c:pt idx="64">
                  <c:v>48061</c:v>
                </c:pt>
                <c:pt idx="65">
                  <c:v>48092</c:v>
                </c:pt>
                <c:pt idx="66">
                  <c:v>48122</c:v>
                </c:pt>
                <c:pt idx="67">
                  <c:v>48153</c:v>
                </c:pt>
                <c:pt idx="68">
                  <c:v>48183</c:v>
                </c:pt>
                <c:pt idx="69">
                  <c:v>48214</c:v>
                </c:pt>
                <c:pt idx="70">
                  <c:v>48245</c:v>
                </c:pt>
                <c:pt idx="71">
                  <c:v>48274</c:v>
                </c:pt>
                <c:pt idx="72">
                  <c:v>48305</c:v>
                </c:pt>
                <c:pt idx="73">
                  <c:v>48335</c:v>
                </c:pt>
                <c:pt idx="74">
                  <c:v>48366</c:v>
                </c:pt>
                <c:pt idx="75">
                  <c:v>48396</c:v>
                </c:pt>
                <c:pt idx="76">
                  <c:v>48427</c:v>
                </c:pt>
                <c:pt idx="77">
                  <c:v>48458</c:v>
                </c:pt>
                <c:pt idx="78">
                  <c:v>48488</c:v>
                </c:pt>
                <c:pt idx="79">
                  <c:v>48519</c:v>
                </c:pt>
                <c:pt idx="80">
                  <c:v>48549</c:v>
                </c:pt>
                <c:pt idx="81">
                  <c:v>48580</c:v>
                </c:pt>
                <c:pt idx="82">
                  <c:v>48611</c:v>
                </c:pt>
                <c:pt idx="83">
                  <c:v>48639</c:v>
                </c:pt>
                <c:pt idx="84">
                  <c:v>48670</c:v>
                </c:pt>
                <c:pt idx="85">
                  <c:v>48700</c:v>
                </c:pt>
                <c:pt idx="86">
                  <c:v>48731</c:v>
                </c:pt>
                <c:pt idx="87">
                  <c:v>48761</c:v>
                </c:pt>
                <c:pt idx="88">
                  <c:v>48792</c:v>
                </c:pt>
                <c:pt idx="89">
                  <c:v>48823</c:v>
                </c:pt>
                <c:pt idx="90">
                  <c:v>48853</c:v>
                </c:pt>
                <c:pt idx="91">
                  <c:v>48884</c:v>
                </c:pt>
                <c:pt idx="92">
                  <c:v>48914</c:v>
                </c:pt>
                <c:pt idx="93">
                  <c:v>48945</c:v>
                </c:pt>
                <c:pt idx="94">
                  <c:v>48976</c:v>
                </c:pt>
                <c:pt idx="95">
                  <c:v>49004</c:v>
                </c:pt>
                <c:pt idx="96">
                  <c:v>49035</c:v>
                </c:pt>
                <c:pt idx="97">
                  <c:v>49065</c:v>
                </c:pt>
                <c:pt idx="98">
                  <c:v>49096</c:v>
                </c:pt>
                <c:pt idx="99">
                  <c:v>49126</c:v>
                </c:pt>
                <c:pt idx="100">
                  <c:v>49157</c:v>
                </c:pt>
                <c:pt idx="101">
                  <c:v>49188</c:v>
                </c:pt>
                <c:pt idx="102">
                  <c:v>49218</c:v>
                </c:pt>
                <c:pt idx="103">
                  <c:v>49249</c:v>
                </c:pt>
                <c:pt idx="104">
                  <c:v>49279</c:v>
                </c:pt>
                <c:pt idx="105">
                  <c:v>49310</c:v>
                </c:pt>
                <c:pt idx="106">
                  <c:v>49341</c:v>
                </c:pt>
                <c:pt idx="107">
                  <c:v>49369</c:v>
                </c:pt>
                <c:pt idx="108">
                  <c:v>49400</c:v>
                </c:pt>
                <c:pt idx="109">
                  <c:v>49430</c:v>
                </c:pt>
                <c:pt idx="110">
                  <c:v>49461</c:v>
                </c:pt>
                <c:pt idx="111">
                  <c:v>49491</c:v>
                </c:pt>
                <c:pt idx="112">
                  <c:v>49522</c:v>
                </c:pt>
                <c:pt idx="113">
                  <c:v>49553</c:v>
                </c:pt>
                <c:pt idx="114">
                  <c:v>49583</c:v>
                </c:pt>
                <c:pt idx="115">
                  <c:v>49614</c:v>
                </c:pt>
                <c:pt idx="116">
                  <c:v>49644</c:v>
                </c:pt>
                <c:pt idx="117">
                  <c:v>49675</c:v>
                </c:pt>
                <c:pt idx="118">
                  <c:v>49706</c:v>
                </c:pt>
                <c:pt idx="119">
                  <c:v>49735</c:v>
                </c:pt>
                <c:pt idx="120">
                  <c:v>49766</c:v>
                </c:pt>
                <c:pt idx="121">
                  <c:v>49796</c:v>
                </c:pt>
                <c:pt idx="122">
                  <c:v>49827</c:v>
                </c:pt>
                <c:pt idx="123">
                  <c:v>49857</c:v>
                </c:pt>
                <c:pt idx="124">
                  <c:v>49888</c:v>
                </c:pt>
                <c:pt idx="125">
                  <c:v>49919</c:v>
                </c:pt>
                <c:pt idx="126">
                  <c:v>49949</c:v>
                </c:pt>
                <c:pt idx="127">
                  <c:v>49980</c:v>
                </c:pt>
                <c:pt idx="128">
                  <c:v>50010</c:v>
                </c:pt>
                <c:pt idx="129">
                  <c:v>50041</c:v>
                </c:pt>
                <c:pt idx="130">
                  <c:v>50072</c:v>
                </c:pt>
              </c:numCache>
            </c:numRef>
          </c:cat>
          <c:val>
            <c:numRef>
              <c:f>'Forecast Values'!$B$2:$B$132</c:f>
              <c:numCache>
                <c:formatCode>General</c:formatCode>
                <c:ptCount val="131"/>
                <c:pt idx="0">
                  <c:v>94.79</c:v>
                </c:pt>
                <c:pt idx="1">
                  <c:v>113.75</c:v>
                </c:pt>
                <c:pt idx="2">
                  <c:v>130.81</c:v>
                </c:pt>
                <c:pt idx="3">
                  <c:v>142</c:v>
                </c:pt>
                <c:pt idx="4">
                  <c:v>149.12</c:v>
                </c:pt>
                <c:pt idx="5">
                  <c:v>150.61000000000001</c:v>
                </c:pt>
                <c:pt idx="6">
                  <c:v>149.1</c:v>
                </c:pt>
                <c:pt idx="7">
                  <c:v>146.12</c:v>
                </c:pt>
                <c:pt idx="8">
                  <c:v>141.74</c:v>
                </c:pt>
                <c:pt idx="9">
                  <c:v>136.07</c:v>
                </c:pt>
                <c:pt idx="10">
                  <c:v>129.27000000000001</c:v>
                </c:pt>
                <c:pt idx="11">
                  <c:v>121.51</c:v>
                </c:pt>
                <c:pt idx="12">
                  <c:v>114.22</c:v>
                </c:pt>
                <c:pt idx="13">
                  <c:v>108.22</c:v>
                </c:pt>
                <c:pt idx="14">
                  <c:v>103.35</c:v>
                </c:pt>
                <c:pt idx="15">
                  <c:v>99.47</c:v>
                </c:pt>
                <c:pt idx="16">
                  <c:v>96.49</c:v>
                </c:pt>
                <c:pt idx="17">
                  <c:v>94.32</c:v>
                </c:pt>
                <c:pt idx="18">
                  <c:v>92.91</c:v>
                </c:pt>
                <c:pt idx="19">
                  <c:v>91.52</c:v>
                </c:pt>
                <c:pt idx="20">
                  <c:v>90.15</c:v>
                </c:pt>
                <c:pt idx="21">
                  <c:v>88.8</c:v>
                </c:pt>
                <c:pt idx="22">
                  <c:v>88.71</c:v>
                </c:pt>
                <c:pt idx="23">
                  <c:v>88.62</c:v>
                </c:pt>
                <c:pt idx="24">
                  <c:v>88.53</c:v>
                </c:pt>
                <c:pt idx="25">
                  <c:v>88.44</c:v>
                </c:pt>
                <c:pt idx="26">
                  <c:v>88.35</c:v>
                </c:pt>
                <c:pt idx="27">
                  <c:v>88.26</c:v>
                </c:pt>
                <c:pt idx="28">
                  <c:v>88.17</c:v>
                </c:pt>
                <c:pt idx="29">
                  <c:v>88.08</c:v>
                </c:pt>
                <c:pt idx="30">
                  <c:v>87.99</c:v>
                </c:pt>
                <c:pt idx="31">
                  <c:v>87.9</c:v>
                </c:pt>
                <c:pt idx="32">
                  <c:v>87.81</c:v>
                </c:pt>
                <c:pt idx="33">
                  <c:v>87.72</c:v>
                </c:pt>
                <c:pt idx="34">
                  <c:v>87.63</c:v>
                </c:pt>
                <c:pt idx="35">
                  <c:v>87.54</c:v>
                </c:pt>
                <c:pt idx="36">
                  <c:v>87.45</c:v>
                </c:pt>
                <c:pt idx="37">
                  <c:v>87.36</c:v>
                </c:pt>
                <c:pt idx="38">
                  <c:v>87.27</c:v>
                </c:pt>
                <c:pt idx="39">
                  <c:v>87.18</c:v>
                </c:pt>
                <c:pt idx="40">
                  <c:v>87.09</c:v>
                </c:pt>
                <c:pt idx="41">
                  <c:v>87</c:v>
                </c:pt>
                <c:pt idx="42">
                  <c:v>86.91</c:v>
                </c:pt>
                <c:pt idx="43">
                  <c:v>86.82</c:v>
                </c:pt>
                <c:pt idx="44">
                  <c:v>86.73</c:v>
                </c:pt>
                <c:pt idx="45">
                  <c:v>86.64</c:v>
                </c:pt>
                <c:pt idx="46">
                  <c:v>86.55</c:v>
                </c:pt>
                <c:pt idx="47">
                  <c:v>86.46</c:v>
                </c:pt>
                <c:pt idx="48">
                  <c:v>86.37</c:v>
                </c:pt>
                <c:pt idx="49">
                  <c:v>86.28</c:v>
                </c:pt>
                <c:pt idx="50">
                  <c:v>86.19</c:v>
                </c:pt>
                <c:pt idx="51">
                  <c:v>86.1</c:v>
                </c:pt>
                <c:pt idx="52">
                  <c:v>86.01</c:v>
                </c:pt>
                <c:pt idx="53">
                  <c:v>85.92</c:v>
                </c:pt>
                <c:pt idx="54">
                  <c:v>85.83</c:v>
                </c:pt>
                <c:pt idx="55">
                  <c:v>85.74</c:v>
                </c:pt>
                <c:pt idx="56">
                  <c:v>85.65</c:v>
                </c:pt>
                <c:pt idx="57">
                  <c:v>85.56</c:v>
                </c:pt>
                <c:pt idx="58">
                  <c:v>85.47</c:v>
                </c:pt>
                <c:pt idx="59">
                  <c:v>85.38</c:v>
                </c:pt>
                <c:pt idx="60">
                  <c:v>85.29</c:v>
                </c:pt>
                <c:pt idx="61">
                  <c:v>85.2</c:v>
                </c:pt>
                <c:pt idx="62">
                  <c:v>85.11</c:v>
                </c:pt>
                <c:pt idx="63">
                  <c:v>85.02</c:v>
                </c:pt>
                <c:pt idx="64">
                  <c:v>84.93</c:v>
                </c:pt>
                <c:pt idx="65">
                  <c:v>84.85</c:v>
                </c:pt>
                <c:pt idx="66">
                  <c:v>84.77</c:v>
                </c:pt>
                <c:pt idx="67">
                  <c:v>84.69</c:v>
                </c:pt>
                <c:pt idx="68">
                  <c:v>84.61</c:v>
                </c:pt>
                <c:pt idx="69">
                  <c:v>84.53</c:v>
                </c:pt>
                <c:pt idx="70">
                  <c:v>84.45</c:v>
                </c:pt>
                <c:pt idx="71">
                  <c:v>84.37</c:v>
                </c:pt>
                <c:pt idx="72">
                  <c:v>84.29</c:v>
                </c:pt>
                <c:pt idx="73">
                  <c:v>84.21</c:v>
                </c:pt>
                <c:pt idx="74">
                  <c:v>84.13</c:v>
                </c:pt>
                <c:pt idx="75">
                  <c:v>84.05</c:v>
                </c:pt>
                <c:pt idx="76">
                  <c:v>83.97</c:v>
                </c:pt>
                <c:pt idx="77">
                  <c:v>83.89</c:v>
                </c:pt>
                <c:pt idx="78">
                  <c:v>83.81</c:v>
                </c:pt>
                <c:pt idx="79">
                  <c:v>83.73</c:v>
                </c:pt>
                <c:pt idx="80">
                  <c:v>83.65</c:v>
                </c:pt>
                <c:pt idx="81">
                  <c:v>83.57</c:v>
                </c:pt>
                <c:pt idx="82">
                  <c:v>83.49</c:v>
                </c:pt>
                <c:pt idx="83">
                  <c:v>83.41</c:v>
                </c:pt>
                <c:pt idx="84">
                  <c:v>83.33</c:v>
                </c:pt>
                <c:pt idx="85">
                  <c:v>83.25</c:v>
                </c:pt>
                <c:pt idx="86">
                  <c:v>83.17</c:v>
                </c:pt>
                <c:pt idx="87">
                  <c:v>83.09</c:v>
                </c:pt>
                <c:pt idx="88">
                  <c:v>83.01</c:v>
                </c:pt>
                <c:pt idx="89">
                  <c:v>82.93</c:v>
                </c:pt>
                <c:pt idx="90">
                  <c:v>82.85</c:v>
                </c:pt>
                <c:pt idx="91">
                  <c:v>82.77</c:v>
                </c:pt>
                <c:pt idx="92">
                  <c:v>82.69</c:v>
                </c:pt>
                <c:pt idx="93">
                  <c:v>82.61</c:v>
                </c:pt>
                <c:pt idx="94">
                  <c:v>82.53</c:v>
                </c:pt>
                <c:pt idx="95">
                  <c:v>82.45</c:v>
                </c:pt>
                <c:pt idx="96">
                  <c:v>82.37</c:v>
                </c:pt>
                <c:pt idx="97">
                  <c:v>82.29</c:v>
                </c:pt>
                <c:pt idx="98">
                  <c:v>82.21</c:v>
                </c:pt>
                <c:pt idx="99">
                  <c:v>82.13</c:v>
                </c:pt>
                <c:pt idx="100">
                  <c:v>82.05</c:v>
                </c:pt>
                <c:pt idx="101">
                  <c:v>81.97</c:v>
                </c:pt>
                <c:pt idx="102">
                  <c:v>81.89</c:v>
                </c:pt>
                <c:pt idx="103">
                  <c:v>81.81</c:v>
                </c:pt>
                <c:pt idx="104">
                  <c:v>81.73</c:v>
                </c:pt>
                <c:pt idx="105">
                  <c:v>81.650000000000006</c:v>
                </c:pt>
                <c:pt idx="106">
                  <c:v>81.569999999999993</c:v>
                </c:pt>
                <c:pt idx="107">
                  <c:v>81.489999999999995</c:v>
                </c:pt>
                <c:pt idx="108">
                  <c:v>81.41</c:v>
                </c:pt>
                <c:pt idx="109">
                  <c:v>81.33</c:v>
                </c:pt>
                <c:pt idx="110">
                  <c:v>81.25</c:v>
                </c:pt>
                <c:pt idx="111">
                  <c:v>81.17</c:v>
                </c:pt>
                <c:pt idx="112">
                  <c:v>81.09</c:v>
                </c:pt>
                <c:pt idx="113">
                  <c:v>81.010000000000005</c:v>
                </c:pt>
                <c:pt idx="114">
                  <c:v>80.930000000000007</c:v>
                </c:pt>
                <c:pt idx="115">
                  <c:v>80.849999999999994</c:v>
                </c:pt>
                <c:pt idx="116">
                  <c:v>80.77</c:v>
                </c:pt>
                <c:pt idx="117">
                  <c:v>80.69</c:v>
                </c:pt>
                <c:pt idx="118">
                  <c:v>80.61</c:v>
                </c:pt>
                <c:pt idx="119">
                  <c:v>80.53</c:v>
                </c:pt>
                <c:pt idx="120">
                  <c:v>80.45</c:v>
                </c:pt>
                <c:pt idx="121">
                  <c:v>80.37</c:v>
                </c:pt>
                <c:pt idx="122">
                  <c:v>80.290000000000006</c:v>
                </c:pt>
                <c:pt idx="123">
                  <c:v>80.209999999999994</c:v>
                </c:pt>
                <c:pt idx="124">
                  <c:v>80.13</c:v>
                </c:pt>
                <c:pt idx="125">
                  <c:v>80.05</c:v>
                </c:pt>
                <c:pt idx="126">
                  <c:v>79.97</c:v>
                </c:pt>
                <c:pt idx="127">
                  <c:v>79.89</c:v>
                </c:pt>
                <c:pt idx="128">
                  <c:v>79.81</c:v>
                </c:pt>
                <c:pt idx="129">
                  <c:v>79.73</c:v>
                </c:pt>
                <c:pt idx="130">
                  <c:v>79.650000000000006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E-4264-A325-9D701F8D8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746911"/>
        <c:axId val="890750751"/>
      </c:lineChart>
      <c:dateAx>
        <c:axId val="890746911"/>
        <c:scaling>
          <c:orientation val="minMax"/>
          <c:max val="47150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0751"/>
        <c:crosses val="autoZero"/>
        <c:auto val="1"/>
        <c:lblOffset val="100"/>
        <c:baseTimeUnit val="months"/>
        <c:majorUnit val="3"/>
        <c:majorTimeUnit val="months"/>
      </c:dateAx>
      <c:valAx>
        <c:axId val="890750751"/>
        <c:scaling>
          <c:orientation val="minMax"/>
          <c:max val="16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Values'!$D$1</c:f>
              <c:strCache>
                <c:ptCount val="1"/>
                <c:pt idx="0">
                  <c:v>Diesel</c:v>
                </c:pt>
              </c:strCache>
            </c:strRef>
          </c:tx>
          <c:spPr>
            <a:ln w="28575" cap="rnd">
              <a:solidFill>
                <a:srgbClr val="86FC99"/>
              </a:solidFill>
              <a:round/>
            </a:ln>
            <a:effectLst/>
          </c:spPr>
          <c:marker>
            <c:symbol val="none"/>
          </c:marker>
          <c:cat>
            <c:numRef>
              <c:f>'Forecast Values'!$A$2:$A$132</c:f>
              <c:numCache>
                <c:formatCode>m/d/yyyy</c:formatCode>
                <c:ptCount val="131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  <c:pt idx="24">
                  <c:v>46844</c:v>
                </c:pt>
                <c:pt idx="25">
                  <c:v>46874</c:v>
                </c:pt>
                <c:pt idx="26">
                  <c:v>46905</c:v>
                </c:pt>
                <c:pt idx="27">
                  <c:v>46935</c:v>
                </c:pt>
                <c:pt idx="28">
                  <c:v>46966</c:v>
                </c:pt>
                <c:pt idx="29">
                  <c:v>46997</c:v>
                </c:pt>
                <c:pt idx="30">
                  <c:v>47027</c:v>
                </c:pt>
                <c:pt idx="31">
                  <c:v>47058</c:v>
                </c:pt>
                <c:pt idx="32">
                  <c:v>47088</c:v>
                </c:pt>
                <c:pt idx="33">
                  <c:v>47119</c:v>
                </c:pt>
                <c:pt idx="34">
                  <c:v>47150</c:v>
                </c:pt>
                <c:pt idx="35">
                  <c:v>47178</c:v>
                </c:pt>
                <c:pt idx="36">
                  <c:v>47209</c:v>
                </c:pt>
                <c:pt idx="37">
                  <c:v>47239</c:v>
                </c:pt>
                <c:pt idx="38">
                  <c:v>47270</c:v>
                </c:pt>
                <c:pt idx="39">
                  <c:v>47300</c:v>
                </c:pt>
                <c:pt idx="40">
                  <c:v>47331</c:v>
                </c:pt>
                <c:pt idx="41">
                  <c:v>47362</c:v>
                </c:pt>
                <c:pt idx="42">
                  <c:v>47392</c:v>
                </c:pt>
                <c:pt idx="43">
                  <c:v>47423</c:v>
                </c:pt>
                <c:pt idx="44">
                  <c:v>47453</c:v>
                </c:pt>
                <c:pt idx="45">
                  <c:v>47484</c:v>
                </c:pt>
                <c:pt idx="46">
                  <c:v>47515</c:v>
                </c:pt>
                <c:pt idx="47">
                  <c:v>47543</c:v>
                </c:pt>
                <c:pt idx="48">
                  <c:v>47574</c:v>
                </c:pt>
                <c:pt idx="49">
                  <c:v>47604</c:v>
                </c:pt>
                <c:pt idx="50">
                  <c:v>47635</c:v>
                </c:pt>
                <c:pt idx="51">
                  <c:v>47665</c:v>
                </c:pt>
                <c:pt idx="52">
                  <c:v>47696</c:v>
                </c:pt>
                <c:pt idx="53">
                  <c:v>47727</c:v>
                </c:pt>
                <c:pt idx="54">
                  <c:v>47757</c:v>
                </c:pt>
                <c:pt idx="55">
                  <c:v>47788</c:v>
                </c:pt>
                <c:pt idx="56">
                  <c:v>47818</c:v>
                </c:pt>
                <c:pt idx="57">
                  <c:v>47849</c:v>
                </c:pt>
                <c:pt idx="58">
                  <c:v>47880</c:v>
                </c:pt>
                <c:pt idx="59">
                  <c:v>47908</c:v>
                </c:pt>
                <c:pt idx="60">
                  <c:v>47939</c:v>
                </c:pt>
                <c:pt idx="61">
                  <c:v>47969</c:v>
                </c:pt>
                <c:pt idx="62">
                  <c:v>48000</c:v>
                </c:pt>
                <c:pt idx="63">
                  <c:v>48030</c:v>
                </c:pt>
                <c:pt idx="64">
                  <c:v>48061</c:v>
                </c:pt>
                <c:pt idx="65">
                  <c:v>48092</c:v>
                </c:pt>
                <c:pt idx="66">
                  <c:v>48122</c:v>
                </c:pt>
                <c:pt idx="67">
                  <c:v>48153</c:v>
                </c:pt>
                <c:pt idx="68">
                  <c:v>48183</c:v>
                </c:pt>
                <c:pt idx="69">
                  <c:v>48214</c:v>
                </c:pt>
                <c:pt idx="70">
                  <c:v>48245</c:v>
                </c:pt>
                <c:pt idx="71">
                  <c:v>48274</c:v>
                </c:pt>
                <c:pt idx="72">
                  <c:v>48305</c:v>
                </c:pt>
                <c:pt idx="73">
                  <c:v>48335</c:v>
                </c:pt>
                <c:pt idx="74">
                  <c:v>48366</c:v>
                </c:pt>
                <c:pt idx="75">
                  <c:v>48396</c:v>
                </c:pt>
                <c:pt idx="76">
                  <c:v>48427</c:v>
                </c:pt>
                <c:pt idx="77">
                  <c:v>48458</c:v>
                </c:pt>
                <c:pt idx="78">
                  <c:v>48488</c:v>
                </c:pt>
                <c:pt idx="79">
                  <c:v>48519</c:v>
                </c:pt>
                <c:pt idx="80">
                  <c:v>48549</c:v>
                </c:pt>
                <c:pt idx="81">
                  <c:v>48580</c:v>
                </c:pt>
                <c:pt idx="82">
                  <c:v>48611</c:v>
                </c:pt>
                <c:pt idx="83">
                  <c:v>48639</c:v>
                </c:pt>
                <c:pt idx="84">
                  <c:v>48670</c:v>
                </c:pt>
                <c:pt idx="85">
                  <c:v>48700</c:v>
                </c:pt>
                <c:pt idx="86">
                  <c:v>48731</c:v>
                </c:pt>
                <c:pt idx="87">
                  <c:v>48761</c:v>
                </c:pt>
                <c:pt idx="88">
                  <c:v>48792</c:v>
                </c:pt>
                <c:pt idx="89">
                  <c:v>48823</c:v>
                </c:pt>
                <c:pt idx="90">
                  <c:v>48853</c:v>
                </c:pt>
                <c:pt idx="91">
                  <c:v>48884</c:v>
                </c:pt>
                <c:pt idx="92">
                  <c:v>48914</c:v>
                </c:pt>
                <c:pt idx="93">
                  <c:v>48945</c:v>
                </c:pt>
                <c:pt idx="94">
                  <c:v>48976</c:v>
                </c:pt>
                <c:pt idx="95">
                  <c:v>49004</c:v>
                </c:pt>
                <c:pt idx="96">
                  <c:v>49035</c:v>
                </c:pt>
                <c:pt idx="97">
                  <c:v>49065</c:v>
                </c:pt>
                <c:pt idx="98">
                  <c:v>49096</c:v>
                </c:pt>
                <c:pt idx="99">
                  <c:v>49126</c:v>
                </c:pt>
                <c:pt idx="100">
                  <c:v>49157</c:v>
                </c:pt>
                <c:pt idx="101">
                  <c:v>49188</c:v>
                </c:pt>
                <c:pt idx="102">
                  <c:v>49218</c:v>
                </c:pt>
                <c:pt idx="103">
                  <c:v>49249</c:v>
                </c:pt>
                <c:pt idx="104">
                  <c:v>49279</c:v>
                </c:pt>
                <c:pt idx="105">
                  <c:v>49310</c:v>
                </c:pt>
                <c:pt idx="106">
                  <c:v>49341</c:v>
                </c:pt>
                <c:pt idx="107">
                  <c:v>49369</c:v>
                </c:pt>
                <c:pt idx="108">
                  <c:v>49400</c:v>
                </c:pt>
                <c:pt idx="109">
                  <c:v>49430</c:v>
                </c:pt>
                <c:pt idx="110">
                  <c:v>49461</c:v>
                </c:pt>
                <c:pt idx="111">
                  <c:v>49491</c:v>
                </c:pt>
                <c:pt idx="112">
                  <c:v>49522</c:v>
                </c:pt>
                <c:pt idx="113">
                  <c:v>49553</c:v>
                </c:pt>
                <c:pt idx="114">
                  <c:v>49583</c:v>
                </c:pt>
                <c:pt idx="115">
                  <c:v>49614</c:v>
                </c:pt>
                <c:pt idx="116">
                  <c:v>49644</c:v>
                </c:pt>
                <c:pt idx="117">
                  <c:v>49675</c:v>
                </c:pt>
                <c:pt idx="118">
                  <c:v>49706</c:v>
                </c:pt>
                <c:pt idx="119">
                  <c:v>49735</c:v>
                </c:pt>
                <c:pt idx="120">
                  <c:v>49766</c:v>
                </c:pt>
                <c:pt idx="121">
                  <c:v>49796</c:v>
                </c:pt>
                <c:pt idx="122">
                  <c:v>49827</c:v>
                </c:pt>
                <c:pt idx="123">
                  <c:v>49857</c:v>
                </c:pt>
                <c:pt idx="124">
                  <c:v>49888</c:v>
                </c:pt>
                <c:pt idx="125">
                  <c:v>49919</c:v>
                </c:pt>
                <c:pt idx="126">
                  <c:v>49949</c:v>
                </c:pt>
                <c:pt idx="127">
                  <c:v>49980</c:v>
                </c:pt>
                <c:pt idx="128">
                  <c:v>50010</c:v>
                </c:pt>
                <c:pt idx="129">
                  <c:v>50041</c:v>
                </c:pt>
                <c:pt idx="130">
                  <c:v>50072</c:v>
                </c:pt>
              </c:numCache>
            </c:numRef>
          </c:cat>
          <c:val>
            <c:numRef>
              <c:f>'Forecast Values'!$D$2:$D$132</c:f>
              <c:numCache>
                <c:formatCode>General</c:formatCode>
                <c:ptCount val="131"/>
                <c:pt idx="0">
                  <c:v>165.33769063180827</c:v>
                </c:pt>
                <c:pt idx="1">
                  <c:v>196.40850627036806</c:v>
                </c:pt>
                <c:pt idx="2">
                  <c:v>224.3656853206756</c:v>
                </c:pt>
                <c:pt idx="3">
                  <c:v>242.70336606938258</c:v>
                </c:pt>
                <c:pt idx="4">
                  <c:v>254.37130949483327</c:v>
                </c:pt>
                <c:pt idx="5">
                  <c:v>256.81305608246271</c:v>
                </c:pt>
                <c:pt idx="6">
                  <c:v>254.33853437285168</c:v>
                </c:pt>
                <c:pt idx="7">
                  <c:v>240.8593690832584</c:v>
                </c:pt>
                <c:pt idx="8">
                  <c:v>226.17913444629411</c:v>
                </c:pt>
                <c:pt idx="9">
                  <c:v>210.58066100590682</c:v>
                </c:pt>
                <c:pt idx="10">
                  <c:v>194.38143306933603</c:v>
                </c:pt>
                <c:pt idx="11">
                  <c:v>180.87288761263795</c:v>
                </c:pt>
                <c:pt idx="12">
                  <c:v>168.99876470778059</c:v>
                </c:pt>
                <c:pt idx="13">
                  <c:v>157.68020023524923</c:v>
                </c:pt>
                <c:pt idx="14">
                  <c:v>150.49522711586562</c:v>
                </c:pt>
                <c:pt idx="15">
                  <c:v>143.09349846596001</c:v>
                </c:pt>
                <c:pt idx="16">
                  <c:v>136.22239595373901</c:v>
                </c:pt>
                <c:pt idx="17">
                  <c:v>131.65599265320898</c:v>
                </c:pt>
                <c:pt idx="18">
                  <c:v>127.23692557053108</c:v>
                </c:pt>
                <c:pt idx="19">
                  <c:v>126.06168624588676</c:v>
                </c:pt>
                <c:pt idx="20">
                  <c:v>122.11237145533866</c:v>
                </c:pt>
                <c:pt idx="21">
                  <c:v>120.65810965317884</c:v>
                </c:pt>
                <c:pt idx="22">
                  <c:v>120.56115886636817</c:v>
                </c:pt>
                <c:pt idx="23">
                  <c:v>120.46420807955754</c:v>
                </c:pt>
                <c:pt idx="24">
                  <c:v>120.36725729274688</c:v>
                </c:pt>
                <c:pt idx="25">
                  <c:v>120.27030650593622</c:v>
                </c:pt>
                <c:pt idx="26">
                  <c:v>120.17335571912557</c:v>
                </c:pt>
                <c:pt idx="27">
                  <c:v>120.07640493231493</c:v>
                </c:pt>
                <c:pt idx="28">
                  <c:v>119.97945414550426</c:v>
                </c:pt>
                <c:pt idx="29">
                  <c:v>119.88250335869361</c:v>
                </c:pt>
                <c:pt idx="30">
                  <c:v>119.78555257188295</c:v>
                </c:pt>
                <c:pt idx="31">
                  <c:v>119.68860178507231</c:v>
                </c:pt>
                <c:pt idx="32">
                  <c:v>119.59165099826166</c:v>
                </c:pt>
                <c:pt idx="33">
                  <c:v>119.49470021145099</c:v>
                </c:pt>
                <c:pt idx="34">
                  <c:v>119.39774942464034</c:v>
                </c:pt>
                <c:pt idx="35">
                  <c:v>119.30079863782969</c:v>
                </c:pt>
                <c:pt idx="36">
                  <c:v>119.20384785101903</c:v>
                </c:pt>
                <c:pt idx="37">
                  <c:v>119.10689706420837</c:v>
                </c:pt>
                <c:pt idx="38">
                  <c:v>119.00994627739772</c:v>
                </c:pt>
                <c:pt idx="39">
                  <c:v>118.91299549058708</c:v>
                </c:pt>
                <c:pt idx="40">
                  <c:v>118.81604470377641</c:v>
                </c:pt>
                <c:pt idx="41">
                  <c:v>118.71909391696576</c:v>
                </c:pt>
                <c:pt idx="42">
                  <c:v>118.6221431301551</c:v>
                </c:pt>
                <c:pt idx="43">
                  <c:v>118.52519234334444</c:v>
                </c:pt>
                <c:pt idx="44">
                  <c:v>118.42824155653381</c:v>
                </c:pt>
                <c:pt idx="45">
                  <c:v>118.33129076972314</c:v>
                </c:pt>
                <c:pt idx="46">
                  <c:v>118.23433998291249</c:v>
                </c:pt>
                <c:pt idx="47">
                  <c:v>118.13738919610182</c:v>
                </c:pt>
                <c:pt idx="48">
                  <c:v>118.04043840929118</c:v>
                </c:pt>
                <c:pt idx="49">
                  <c:v>117.94348762248053</c:v>
                </c:pt>
                <c:pt idx="50">
                  <c:v>117.84653683566987</c:v>
                </c:pt>
                <c:pt idx="51">
                  <c:v>117.74958604885921</c:v>
                </c:pt>
                <c:pt idx="52">
                  <c:v>117.65263526204856</c:v>
                </c:pt>
                <c:pt idx="53">
                  <c:v>117.55568447523791</c:v>
                </c:pt>
                <c:pt idx="54">
                  <c:v>117.45873368842724</c:v>
                </c:pt>
                <c:pt idx="55">
                  <c:v>117.36178290161659</c:v>
                </c:pt>
                <c:pt idx="56">
                  <c:v>117.26483211480596</c:v>
                </c:pt>
                <c:pt idx="57">
                  <c:v>117.16788132799529</c:v>
                </c:pt>
                <c:pt idx="58">
                  <c:v>117.07093054118464</c:v>
                </c:pt>
                <c:pt idx="59">
                  <c:v>116.97397975437397</c:v>
                </c:pt>
                <c:pt idx="60">
                  <c:v>116.87702896756333</c:v>
                </c:pt>
                <c:pt idx="61">
                  <c:v>116.78007818075268</c:v>
                </c:pt>
                <c:pt idx="62">
                  <c:v>116.68312739394202</c:v>
                </c:pt>
                <c:pt idx="63">
                  <c:v>116.58617660713136</c:v>
                </c:pt>
                <c:pt idx="64">
                  <c:v>116.48922582032073</c:v>
                </c:pt>
                <c:pt idx="65">
                  <c:v>116.40304734315569</c:v>
                </c:pt>
                <c:pt idx="66">
                  <c:v>116.31686886599066</c:v>
                </c:pt>
                <c:pt idx="67">
                  <c:v>116.23069038882565</c:v>
                </c:pt>
                <c:pt idx="68">
                  <c:v>116.14451191166062</c:v>
                </c:pt>
                <c:pt idx="69">
                  <c:v>116.05833343449558</c:v>
                </c:pt>
                <c:pt idx="70">
                  <c:v>115.97215495733056</c:v>
                </c:pt>
                <c:pt idx="71">
                  <c:v>115.88597648016554</c:v>
                </c:pt>
                <c:pt idx="72">
                  <c:v>115.79979800300052</c:v>
                </c:pt>
                <c:pt idx="73">
                  <c:v>115.71361952583547</c:v>
                </c:pt>
                <c:pt idx="74">
                  <c:v>115.62744104867046</c:v>
                </c:pt>
                <c:pt idx="75">
                  <c:v>115.54126257150543</c:v>
                </c:pt>
                <c:pt idx="76">
                  <c:v>115.45508409434041</c:v>
                </c:pt>
                <c:pt idx="77">
                  <c:v>115.36890561717537</c:v>
                </c:pt>
                <c:pt idx="78">
                  <c:v>115.28272714001035</c:v>
                </c:pt>
                <c:pt idx="79">
                  <c:v>115.19654866284533</c:v>
                </c:pt>
                <c:pt idx="80">
                  <c:v>115.1103701856803</c:v>
                </c:pt>
                <c:pt idx="81">
                  <c:v>115.02419170851527</c:v>
                </c:pt>
                <c:pt idx="82">
                  <c:v>114.93801323135024</c:v>
                </c:pt>
                <c:pt idx="83">
                  <c:v>114.85183475418522</c:v>
                </c:pt>
                <c:pt idx="84">
                  <c:v>114.76565627702018</c:v>
                </c:pt>
                <c:pt idx="85">
                  <c:v>114.67947779985518</c:v>
                </c:pt>
                <c:pt idx="86">
                  <c:v>114.59329932269014</c:v>
                </c:pt>
                <c:pt idx="87">
                  <c:v>114.50712084552511</c:v>
                </c:pt>
                <c:pt idx="88">
                  <c:v>114.4209423683601</c:v>
                </c:pt>
                <c:pt idx="89">
                  <c:v>114.33476389119507</c:v>
                </c:pt>
                <c:pt idx="90">
                  <c:v>114.24858541403003</c:v>
                </c:pt>
                <c:pt idx="91">
                  <c:v>114.162406936865</c:v>
                </c:pt>
                <c:pt idx="92">
                  <c:v>114.07622845969999</c:v>
                </c:pt>
                <c:pt idx="93">
                  <c:v>113.99004998253496</c:v>
                </c:pt>
                <c:pt idx="94">
                  <c:v>113.90387150536995</c:v>
                </c:pt>
                <c:pt idx="95">
                  <c:v>113.81769302820491</c:v>
                </c:pt>
                <c:pt idx="96">
                  <c:v>113.73151455103988</c:v>
                </c:pt>
                <c:pt idx="97">
                  <c:v>113.64533607387487</c:v>
                </c:pt>
                <c:pt idx="98">
                  <c:v>113.55915759670982</c:v>
                </c:pt>
                <c:pt idx="99">
                  <c:v>113.4729791195448</c:v>
                </c:pt>
                <c:pt idx="100">
                  <c:v>113.38680064237977</c:v>
                </c:pt>
                <c:pt idx="101">
                  <c:v>113.30062216521475</c:v>
                </c:pt>
                <c:pt idx="102">
                  <c:v>113.21444368804973</c:v>
                </c:pt>
                <c:pt idx="103">
                  <c:v>113.12826521088471</c:v>
                </c:pt>
                <c:pt idx="104">
                  <c:v>113.04208673371969</c:v>
                </c:pt>
                <c:pt idx="105">
                  <c:v>112.95590825655466</c:v>
                </c:pt>
                <c:pt idx="106">
                  <c:v>112.86972977938962</c:v>
                </c:pt>
                <c:pt idx="107">
                  <c:v>112.78355130222459</c:v>
                </c:pt>
                <c:pt idx="108">
                  <c:v>112.69737282505957</c:v>
                </c:pt>
                <c:pt idx="109">
                  <c:v>112.61119434789454</c:v>
                </c:pt>
                <c:pt idx="110">
                  <c:v>112.52501587072952</c:v>
                </c:pt>
                <c:pt idx="111">
                  <c:v>112.4388373935645</c:v>
                </c:pt>
                <c:pt idx="112">
                  <c:v>112.35265891639948</c:v>
                </c:pt>
                <c:pt idx="113">
                  <c:v>112.26648043923446</c:v>
                </c:pt>
                <c:pt idx="114">
                  <c:v>112.18030196206942</c:v>
                </c:pt>
                <c:pt idx="115">
                  <c:v>112.09412348490439</c:v>
                </c:pt>
                <c:pt idx="116">
                  <c:v>112.00794500773937</c:v>
                </c:pt>
                <c:pt idx="117">
                  <c:v>111.92176653057435</c:v>
                </c:pt>
                <c:pt idx="118">
                  <c:v>111.83558805340931</c:v>
                </c:pt>
                <c:pt idx="119">
                  <c:v>111.74940957624429</c:v>
                </c:pt>
                <c:pt idx="120">
                  <c:v>111.66323109907927</c:v>
                </c:pt>
                <c:pt idx="121">
                  <c:v>111.57705262191423</c:v>
                </c:pt>
                <c:pt idx="122">
                  <c:v>111.49087414474921</c:v>
                </c:pt>
                <c:pt idx="123">
                  <c:v>111.40469566758418</c:v>
                </c:pt>
                <c:pt idx="124">
                  <c:v>111.31851719041916</c:v>
                </c:pt>
                <c:pt idx="125">
                  <c:v>111.23233871325414</c:v>
                </c:pt>
                <c:pt idx="126">
                  <c:v>111.1461602360891</c:v>
                </c:pt>
                <c:pt idx="127">
                  <c:v>111.05998175892408</c:v>
                </c:pt>
                <c:pt idx="128">
                  <c:v>110.97380328175905</c:v>
                </c:pt>
                <c:pt idx="129">
                  <c:v>110.88762480459403</c:v>
                </c:pt>
                <c:pt idx="130">
                  <c:v>110.80144632742901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C-4F75-A58F-A35C349BD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746911"/>
        <c:axId val="890750751"/>
      </c:lineChart>
      <c:dateAx>
        <c:axId val="890746911"/>
        <c:scaling>
          <c:orientation val="minMax"/>
          <c:max val="47150"/>
        </c:scaling>
        <c:delete val="0"/>
        <c:axPos val="b"/>
        <c:numFmt formatCode="mmm\ yy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890750751"/>
        <c:crosses val="autoZero"/>
        <c:auto val="1"/>
        <c:lblOffset val="100"/>
        <c:baseTimeUnit val="months"/>
        <c:majorUnit val="3"/>
        <c:majorTimeUnit val="months"/>
      </c:dateAx>
      <c:valAx>
        <c:axId val="890750751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round/>
            </a:ln>
            <a:effectLst/>
          </c:spPr>
        </c:majorGridlines>
        <c:numFmt formatCode="#,##0\ \c\p\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890746911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  <a:latin typeface="Montserrat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Price'!$B$1</c:f>
              <c:strCache>
                <c:ptCount val="1"/>
                <c:pt idx="0">
                  <c:v>Brent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Price'!$A$2:$A$132</c:f>
              <c:numCache>
                <c:formatCode>m/d/yyyy</c:formatCode>
                <c:ptCount val="131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  <c:pt idx="12">
                  <c:v>46478</c:v>
                </c:pt>
                <c:pt idx="13">
                  <c:v>46508</c:v>
                </c:pt>
                <c:pt idx="14">
                  <c:v>46539</c:v>
                </c:pt>
                <c:pt idx="15">
                  <c:v>46569</c:v>
                </c:pt>
                <c:pt idx="16">
                  <c:v>46600</c:v>
                </c:pt>
                <c:pt idx="17">
                  <c:v>46631</c:v>
                </c:pt>
                <c:pt idx="18">
                  <c:v>46661</c:v>
                </c:pt>
                <c:pt idx="19">
                  <c:v>46692</c:v>
                </c:pt>
                <c:pt idx="20">
                  <c:v>46722</c:v>
                </c:pt>
                <c:pt idx="21">
                  <c:v>46753</c:v>
                </c:pt>
                <c:pt idx="22">
                  <c:v>46784</c:v>
                </c:pt>
                <c:pt idx="23">
                  <c:v>46813</c:v>
                </c:pt>
                <c:pt idx="24">
                  <c:v>46844</c:v>
                </c:pt>
                <c:pt idx="25">
                  <c:v>46874</c:v>
                </c:pt>
                <c:pt idx="26">
                  <c:v>46905</c:v>
                </c:pt>
                <c:pt idx="27">
                  <c:v>46935</c:v>
                </c:pt>
                <c:pt idx="28">
                  <c:v>46966</c:v>
                </c:pt>
                <c:pt idx="29">
                  <c:v>46997</c:v>
                </c:pt>
                <c:pt idx="30">
                  <c:v>47027</c:v>
                </c:pt>
                <c:pt idx="31">
                  <c:v>47058</c:v>
                </c:pt>
                <c:pt idx="32">
                  <c:v>47088</c:v>
                </c:pt>
                <c:pt idx="33">
                  <c:v>47119</c:v>
                </c:pt>
                <c:pt idx="34">
                  <c:v>47150</c:v>
                </c:pt>
                <c:pt idx="35">
                  <c:v>47178</c:v>
                </c:pt>
                <c:pt idx="36">
                  <c:v>47209</c:v>
                </c:pt>
                <c:pt idx="37">
                  <c:v>47239</c:v>
                </c:pt>
                <c:pt idx="38">
                  <c:v>47270</c:v>
                </c:pt>
                <c:pt idx="39">
                  <c:v>47300</c:v>
                </c:pt>
                <c:pt idx="40">
                  <c:v>47331</c:v>
                </c:pt>
                <c:pt idx="41">
                  <c:v>47362</c:v>
                </c:pt>
                <c:pt idx="42">
                  <c:v>47392</c:v>
                </c:pt>
                <c:pt idx="43">
                  <c:v>47423</c:v>
                </c:pt>
                <c:pt idx="44">
                  <c:v>47453</c:v>
                </c:pt>
                <c:pt idx="45">
                  <c:v>47484</c:v>
                </c:pt>
                <c:pt idx="46">
                  <c:v>47515</c:v>
                </c:pt>
                <c:pt idx="47">
                  <c:v>47543</c:v>
                </c:pt>
                <c:pt idx="48">
                  <c:v>47574</c:v>
                </c:pt>
                <c:pt idx="49">
                  <c:v>47604</c:v>
                </c:pt>
                <c:pt idx="50">
                  <c:v>47635</c:v>
                </c:pt>
                <c:pt idx="51">
                  <c:v>47665</c:v>
                </c:pt>
                <c:pt idx="52">
                  <c:v>47696</c:v>
                </c:pt>
                <c:pt idx="53">
                  <c:v>47727</c:v>
                </c:pt>
                <c:pt idx="54">
                  <c:v>47757</c:v>
                </c:pt>
                <c:pt idx="55">
                  <c:v>47788</c:v>
                </c:pt>
                <c:pt idx="56">
                  <c:v>47818</c:v>
                </c:pt>
                <c:pt idx="57">
                  <c:v>47849</c:v>
                </c:pt>
                <c:pt idx="58">
                  <c:v>47880</c:v>
                </c:pt>
                <c:pt idx="59">
                  <c:v>47908</c:v>
                </c:pt>
                <c:pt idx="60">
                  <c:v>47939</c:v>
                </c:pt>
                <c:pt idx="61">
                  <c:v>47969</c:v>
                </c:pt>
                <c:pt idx="62">
                  <c:v>48000</c:v>
                </c:pt>
                <c:pt idx="63">
                  <c:v>48030</c:v>
                </c:pt>
                <c:pt idx="64">
                  <c:v>48061</c:v>
                </c:pt>
                <c:pt idx="65">
                  <c:v>48092</c:v>
                </c:pt>
                <c:pt idx="66">
                  <c:v>48122</c:v>
                </c:pt>
                <c:pt idx="67">
                  <c:v>48153</c:v>
                </c:pt>
                <c:pt idx="68">
                  <c:v>48183</c:v>
                </c:pt>
                <c:pt idx="69">
                  <c:v>48214</c:v>
                </c:pt>
                <c:pt idx="70">
                  <c:v>48245</c:v>
                </c:pt>
                <c:pt idx="71">
                  <c:v>48274</c:v>
                </c:pt>
                <c:pt idx="72">
                  <c:v>48305</c:v>
                </c:pt>
                <c:pt idx="73">
                  <c:v>48335</c:v>
                </c:pt>
                <c:pt idx="74">
                  <c:v>48366</c:v>
                </c:pt>
                <c:pt idx="75">
                  <c:v>48396</c:v>
                </c:pt>
                <c:pt idx="76">
                  <c:v>48427</c:v>
                </c:pt>
                <c:pt idx="77">
                  <c:v>48458</c:v>
                </c:pt>
                <c:pt idx="78">
                  <c:v>48488</c:v>
                </c:pt>
                <c:pt idx="79">
                  <c:v>48519</c:v>
                </c:pt>
                <c:pt idx="80">
                  <c:v>48549</c:v>
                </c:pt>
                <c:pt idx="81">
                  <c:v>48580</c:v>
                </c:pt>
                <c:pt idx="82">
                  <c:v>48611</c:v>
                </c:pt>
                <c:pt idx="83">
                  <c:v>48639</c:v>
                </c:pt>
                <c:pt idx="84">
                  <c:v>48670</c:v>
                </c:pt>
                <c:pt idx="85">
                  <c:v>48700</c:v>
                </c:pt>
                <c:pt idx="86">
                  <c:v>48731</c:v>
                </c:pt>
                <c:pt idx="87">
                  <c:v>48761</c:v>
                </c:pt>
                <c:pt idx="88">
                  <c:v>48792</c:v>
                </c:pt>
                <c:pt idx="89">
                  <c:v>48823</c:v>
                </c:pt>
                <c:pt idx="90">
                  <c:v>48853</c:v>
                </c:pt>
                <c:pt idx="91">
                  <c:v>48884</c:v>
                </c:pt>
                <c:pt idx="92">
                  <c:v>48914</c:v>
                </c:pt>
                <c:pt idx="93">
                  <c:v>48945</c:v>
                </c:pt>
                <c:pt idx="94">
                  <c:v>48976</c:v>
                </c:pt>
                <c:pt idx="95">
                  <c:v>49004</c:v>
                </c:pt>
                <c:pt idx="96">
                  <c:v>49035</c:v>
                </c:pt>
                <c:pt idx="97">
                  <c:v>49065</c:v>
                </c:pt>
                <c:pt idx="98">
                  <c:v>49096</c:v>
                </c:pt>
                <c:pt idx="99">
                  <c:v>49126</c:v>
                </c:pt>
                <c:pt idx="100">
                  <c:v>49157</c:v>
                </c:pt>
                <c:pt idx="101">
                  <c:v>49188</c:v>
                </c:pt>
                <c:pt idx="102">
                  <c:v>49218</c:v>
                </c:pt>
                <c:pt idx="103">
                  <c:v>49249</c:v>
                </c:pt>
                <c:pt idx="104">
                  <c:v>49279</c:v>
                </c:pt>
                <c:pt idx="105">
                  <c:v>49310</c:v>
                </c:pt>
                <c:pt idx="106">
                  <c:v>49341</c:v>
                </c:pt>
                <c:pt idx="107">
                  <c:v>49369</c:v>
                </c:pt>
                <c:pt idx="108">
                  <c:v>49400</c:v>
                </c:pt>
                <c:pt idx="109">
                  <c:v>49430</c:v>
                </c:pt>
                <c:pt idx="110">
                  <c:v>49461</c:v>
                </c:pt>
                <c:pt idx="111">
                  <c:v>49491</c:v>
                </c:pt>
                <c:pt idx="112">
                  <c:v>49522</c:v>
                </c:pt>
                <c:pt idx="113">
                  <c:v>49553</c:v>
                </c:pt>
                <c:pt idx="114">
                  <c:v>49583</c:v>
                </c:pt>
                <c:pt idx="115">
                  <c:v>49614</c:v>
                </c:pt>
                <c:pt idx="116">
                  <c:v>49644</c:v>
                </c:pt>
                <c:pt idx="117">
                  <c:v>49675</c:v>
                </c:pt>
                <c:pt idx="118">
                  <c:v>49706</c:v>
                </c:pt>
                <c:pt idx="119">
                  <c:v>49735</c:v>
                </c:pt>
                <c:pt idx="120">
                  <c:v>49766</c:v>
                </c:pt>
                <c:pt idx="121">
                  <c:v>49796</c:v>
                </c:pt>
                <c:pt idx="122">
                  <c:v>49827</c:v>
                </c:pt>
                <c:pt idx="123">
                  <c:v>49857</c:v>
                </c:pt>
                <c:pt idx="124">
                  <c:v>49888</c:v>
                </c:pt>
                <c:pt idx="125">
                  <c:v>49919</c:v>
                </c:pt>
                <c:pt idx="126">
                  <c:v>49949</c:v>
                </c:pt>
                <c:pt idx="127">
                  <c:v>49980</c:v>
                </c:pt>
                <c:pt idx="128">
                  <c:v>50010</c:v>
                </c:pt>
                <c:pt idx="129">
                  <c:v>50041</c:v>
                </c:pt>
                <c:pt idx="130">
                  <c:v>50072</c:v>
                </c:pt>
              </c:numCache>
            </c:numRef>
          </c:cat>
          <c:val>
            <c:numRef>
              <c:f>'Forecast Price'!$B$2:$B$132</c:f>
              <c:numCache>
                <c:formatCode>General</c:formatCode>
                <c:ptCount val="131"/>
                <c:pt idx="0">
                  <c:v>94.79</c:v>
                </c:pt>
                <c:pt idx="1">
                  <c:v>113.75</c:v>
                </c:pt>
                <c:pt idx="2">
                  <c:v>130.81</c:v>
                </c:pt>
                <c:pt idx="3">
                  <c:v>149.12</c:v>
                </c:pt>
                <c:pt idx="4">
                  <c:v>150.61000000000001</c:v>
                </c:pt>
                <c:pt idx="5">
                  <c:v>150.61000000000001</c:v>
                </c:pt>
                <c:pt idx="6">
                  <c:v>149.1</c:v>
                </c:pt>
                <c:pt idx="7">
                  <c:v>146.12</c:v>
                </c:pt>
                <c:pt idx="8">
                  <c:v>141.74</c:v>
                </c:pt>
                <c:pt idx="9">
                  <c:v>136.07</c:v>
                </c:pt>
                <c:pt idx="10">
                  <c:v>129.27000000000001</c:v>
                </c:pt>
                <c:pt idx="11">
                  <c:v>121.51</c:v>
                </c:pt>
                <c:pt idx="12">
                  <c:v>114.22</c:v>
                </c:pt>
                <c:pt idx="13">
                  <c:v>108.22</c:v>
                </c:pt>
                <c:pt idx="14">
                  <c:v>103.35</c:v>
                </c:pt>
                <c:pt idx="15">
                  <c:v>99.47</c:v>
                </c:pt>
                <c:pt idx="16">
                  <c:v>96.49</c:v>
                </c:pt>
                <c:pt idx="17">
                  <c:v>94.32</c:v>
                </c:pt>
                <c:pt idx="18">
                  <c:v>92.91</c:v>
                </c:pt>
                <c:pt idx="19">
                  <c:v>91.52</c:v>
                </c:pt>
                <c:pt idx="20">
                  <c:v>90.15</c:v>
                </c:pt>
                <c:pt idx="21">
                  <c:v>88.8</c:v>
                </c:pt>
                <c:pt idx="22">
                  <c:v>88.71</c:v>
                </c:pt>
                <c:pt idx="23">
                  <c:v>88.62</c:v>
                </c:pt>
                <c:pt idx="24">
                  <c:v>88.53</c:v>
                </c:pt>
                <c:pt idx="25">
                  <c:v>88.44</c:v>
                </c:pt>
                <c:pt idx="26">
                  <c:v>88.35</c:v>
                </c:pt>
                <c:pt idx="27">
                  <c:v>88.26</c:v>
                </c:pt>
                <c:pt idx="28">
                  <c:v>88.17</c:v>
                </c:pt>
                <c:pt idx="29">
                  <c:v>88.08</c:v>
                </c:pt>
                <c:pt idx="30">
                  <c:v>87.99</c:v>
                </c:pt>
                <c:pt idx="31">
                  <c:v>87.9</c:v>
                </c:pt>
                <c:pt idx="32">
                  <c:v>87.81</c:v>
                </c:pt>
                <c:pt idx="33">
                  <c:v>87.72</c:v>
                </c:pt>
                <c:pt idx="34">
                  <c:v>87.63</c:v>
                </c:pt>
                <c:pt idx="35">
                  <c:v>87.54</c:v>
                </c:pt>
                <c:pt idx="36">
                  <c:v>87.45</c:v>
                </c:pt>
                <c:pt idx="37">
                  <c:v>87.36</c:v>
                </c:pt>
                <c:pt idx="38">
                  <c:v>87.27</c:v>
                </c:pt>
                <c:pt idx="39">
                  <c:v>87.18</c:v>
                </c:pt>
                <c:pt idx="40">
                  <c:v>87.09</c:v>
                </c:pt>
                <c:pt idx="41">
                  <c:v>87</c:v>
                </c:pt>
                <c:pt idx="42">
                  <c:v>86.91</c:v>
                </c:pt>
                <c:pt idx="43">
                  <c:v>86.82</c:v>
                </c:pt>
                <c:pt idx="44">
                  <c:v>86.73</c:v>
                </c:pt>
                <c:pt idx="45">
                  <c:v>86.64</c:v>
                </c:pt>
                <c:pt idx="46">
                  <c:v>86.55</c:v>
                </c:pt>
                <c:pt idx="47">
                  <c:v>86.46</c:v>
                </c:pt>
                <c:pt idx="48">
                  <c:v>86.37</c:v>
                </c:pt>
                <c:pt idx="49">
                  <c:v>86.28</c:v>
                </c:pt>
                <c:pt idx="50">
                  <c:v>86.19</c:v>
                </c:pt>
                <c:pt idx="51">
                  <c:v>86.1</c:v>
                </c:pt>
                <c:pt idx="52">
                  <c:v>86.01</c:v>
                </c:pt>
                <c:pt idx="53">
                  <c:v>85.92</c:v>
                </c:pt>
                <c:pt idx="54">
                  <c:v>85.83</c:v>
                </c:pt>
                <c:pt idx="55">
                  <c:v>85.74</c:v>
                </c:pt>
                <c:pt idx="56">
                  <c:v>85.65</c:v>
                </c:pt>
                <c:pt idx="57">
                  <c:v>85.56</c:v>
                </c:pt>
                <c:pt idx="58">
                  <c:v>85.47</c:v>
                </c:pt>
                <c:pt idx="59">
                  <c:v>85.38</c:v>
                </c:pt>
                <c:pt idx="60">
                  <c:v>85.29</c:v>
                </c:pt>
                <c:pt idx="61">
                  <c:v>85.2</c:v>
                </c:pt>
                <c:pt idx="62">
                  <c:v>85.11</c:v>
                </c:pt>
                <c:pt idx="63">
                  <c:v>85.02</c:v>
                </c:pt>
                <c:pt idx="64">
                  <c:v>84.93</c:v>
                </c:pt>
                <c:pt idx="65">
                  <c:v>84.85</c:v>
                </c:pt>
                <c:pt idx="66">
                  <c:v>84.77</c:v>
                </c:pt>
                <c:pt idx="67">
                  <c:v>84.69</c:v>
                </c:pt>
                <c:pt idx="68">
                  <c:v>84.61</c:v>
                </c:pt>
                <c:pt idx="69">
                  <c:v>84.53</c:v>
                </c:pt>
                <c:pt idx="70">
                  <c:v>84.45</c:v>
                </c:pt>
                <c:pt idx="71">
                  <c:v>84.37</c:v>
                </c:pt>
                <c:pt idx="72">
                  <c:v>84.29</c:v>
                </c:pt>
                <c:pt idx="73">
                  <c:v>84.21</c:v>
                </c:pt>
                <c:pt idx="74">
                  <c:v>84.13</c:v>
                </c:pt>
                <c:pt idx="75">
                  <c:v>84.05</c:v>
                </c:pt>
                <c:pt idx="76">
                  <c:v>83.97</c:v>
                </c:pt>
                <c:pt idx="77">
                  <c:v>83.89</c:v>
                </c:pt>
                <c:pt idx="78">
                  <c:v>83.81</c:v>
                </c:pt>
                <c:pt idx="79">
                  <c:v>83.73</c:v>
                </c:pt>
                <c:pt idx="80">
                  <c:v>83.65</c:v>
                </c:pt>
                <c:pt idx="81">
                  <c:v>83.57</c:v>
                </c:pt>
                <c:pt idx="82">
                  <c:v>83.49</c:v>
                </c:pt>
                <c:pt idx="83">
                  <c:v>83.41</c:v>
                </c:pt>
                <c:pt idx="84">
                  <c:v>83.33</c:v>
                </c:pt>
                <c:pt idx="85">
                  <c:v>83.25</c:v>
                </c:pt>
                <c:pt idx="86">
                  <c:v>83.17</c:v>
                </c:pt>
                <c:pt idx="87">
                  <c:v>83.09</c:v>
                </c:pt>
                <c:pt idx="88">
                  <c:v>83.01</c:v>
                </c:pt>
                <c:pt idx="89">
                  <c:v>82.93</c:v>
                </c:pt>
                <c:pt idx="90">
                  <c:v>82.85</c:v>
                </c:pt>
                <c:pt idx="91">
                  <c:v>82.77</c:v>
                </c:pt>
                <c:pt idx="92">
                  <c:v>82.69</c:v>
                </c:pt>
                <c:pt idx="93">
                  <c:v>82.61</c:v>
                </c:pt>
                <c:pt idx="94">
                  <c:v>82.53</c:v>
                </c:pt>
                <c:pt idx="95">
                  <c:v>82.45</c:v>
                </c:pt>
                <c:pt idx="96">
                  <c:v>82.37</c:v>
                </c:pt>
                <c:pt idx="97">
                  <c:v>82.29</c:v>
                </c:pt>
                <c:pt idx="98">
                  <c:v>82.21</c:v>
                </c:pt>
                <c:pt idx="99">
                  <c:v>82.13</c:v>
                </c:pt>
                <c:pt idx="100">
                  <c:v>82.05</c:v>
                </c:pt>
                <c:pt idx="101">
                  <c:v>81.97</c:v>
                </c:pt>
                <c:pt idx="102">
                  <c:v>81.89</c:v>
                </c:pt>
                <c:pt idx="103">
                  <c:v>81.81</c:v>
                </c:pt>
                <c:pt idx="104">
                  <c:v>81.73</c:v>
                </c:pt>
                <c:pt idx="105">
                  <c:v>81.650000000000006</c:v>
                </c:pt>
                <c:pt idx="106">
                  <c:v>81.569999999999993</c:v>
                </c:pt>
                <c:pt idx="107">
                  <c:v>81.489999999999995</c:v>
                </c:pt>
                <c:pt idx="108">
                  <c:v>81.41</c:v>
                </c:pt>
                <c:pt idx="109">
                  <c:v>81.33</c:v>
                </c:pt>
                <c:pt idx="110">
                  <c:v>81.25</c:v>
                </c:pt>
                <c:pt idx="111">
                  <c:v>81.17</c:v>
                </c:pt>
                <c:pt idx="112">
                  <c:v>81.09</c:v>
                </c:pt>
                <c:pt idx="113">
                  <c:v>81.010000000000005</c:v>
                </c:pt>
                <c:pt idx="114">
                  <c:v>80.930000000000007</c:v>
                </c:pt>
                <c:pt idx="115">
                  <c:v>80.849999999999994</c:v>
                </c:pt>
                <c:pt idx="116">
                  <c:v>80.77</c:v>
                </c:pt>
                <c:pt idx="117">
                  <c:v>80.69</c:v>
                </c:pt>
                <c:pt idx="118">
                  <c:v>80.61</c:v>
                </c:pt>
                <c:pt idx="119">
                  <c:v>80.53</c:v>
                </c:pt>
                <c:pt idx="120">
                  <c:v>80.45</c:v>
                </c:pt>
                <c:pt idx="121">
                  <c:v>80.37</c:v>
                </c:pt>
                <c:pt idx="122">
                  <c:v>80.290000000000006</c:v>
                </c:pt>
                <c:pt idx="123">
                  <c:v>80.209999999999994</c:v>
                </c:pt>
                <c:pt idx="124">
                  <c:v>80.13</c:v>
                </c:pt>
                <c:pt idx="125">
                  <c:v>80.05</c:v>
                </c:pt>
                <c:pt idx="126">
                  <c:v>79.97</c:v>
                </c:pt>
                <c:pt idx="127">
                  <c:v>79.89</c:v>
                </c:pt>
                <c:pt idx="128">
                  <c:v>79.81</c:v>
                </c:pt>
                <c:pt idx="129">
                  <c:v>79.73</c:v>
                </c:pt>
                <c:pt idx="130">
                  <c:v>79.650000000000006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A-4C9F-89B9-D7C42A193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746911"/>
        <c:axId val="890750751"/>
      </c:lineChart>
      <c:dateAx>
        <c:axId val="890746911"/>
        <c:scaling>
          <c:orientation val="minMax"/>
          <c:max val="4715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0751"/>
        <c:crosses val="autoZero"/>
        <c:auto val="1"/>
        <c:lblOffset val="100"/>
        <c:baseTimeUnit val="months"/>
      </c:dateAx>
      <c:valAx>
        <c:axId val="890750751"/>
        <c:scaling>
          <c:orientation val="minMax"/>
          <c:max val="16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76199</xdr:colOff>
      <xdr:row>2</xdr:row>
      <xdr:rowOff>23811</xdr:rowOff>
    </xdr:from>
    <xdr:to>
      <xdr:col>24</xdr:col>
      <xdr:colOff>219074</xdr:colOff>
      <xdr:row>33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273A7-CB04-02B5-5558-77614DFDF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1</xdr:row>
      <xdr:rowOff>109537</xdr:rowOff>
    </xdr:from>
    <xdr:to>
      <xdr:col>20</xdr:col>
      <xdr:colOff>533399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7EFCE-F767-8A63-B732-857FA60D6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552449</xdr:colOff>
      <xdr:row>4</xdr:row>
      <xdr:rowOff>66675</xdr:rowOff>
    </xdr:from>
    <xdr:to>
      <xdr:col>25</xdr:col>
      <xdr:colOff>123824</xdr:colOff>
      <xdr:row>21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D33F99-7FFE-47C3-9F98-3E239A263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295275</xdr:colOff>
      <xdr:row>1</xdr:row>
      <xdr:rowOff>152400</xdr:rowOff>
    </xdr:from>
    <xdr:to>
      <xdr:col>43</xdr:col>
      <xdr:colOff>238125</xdr:colOff>
      <xdr:row>25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9E791-7091-3760-A673-67A20E1DC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295275</xdr:colOff>
      <xdr:row>26</xdr:row>
      <xdr:rowOff>19050</xdr:rowOff>
    </xdr:from>
    <xdr:to>
      <xdr:col>43</xdr:col>
      <xdr:colOff>238125</xdr:colOff>
      <xdr:row>49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16D5B-DF41-46E9-AF6E-27A80C1FD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552450</xdr:colOff>
      <xdr:row>2</xdr:row>
      <xdr:rowOff>0</xdr:rowOff>
    </xdr:from>
    <xdr:to>
      <xdr:col>26</xdr:col>
      <xdr:colOff>495300</xdr:colOff>
      <xdr:row>25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35359B-DCD0-4FB7-9ACA-113FFC492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47625</xdr:colOff>
      <xdr:row>25</xdr:row>
      <xdr:rowOff>66675</xdr:rowOff>
    </xdr:from>
    <xdr:to>
      <xdr:col>26</xdr:col>
      <xdr:colOff>600075</xdr:colOff>
      <xdr:row>48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00DE57-65FB-4426-9DFC-A7BE13B5C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7</xdr:row>
      <xdr:rowOff>85725</xdr:rowOff>
    </xdr:from>
    <xdr:to>
      <xdr:col>16</xdr:col>
      <xdr:colOff>247650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ED9127-D685-4F09-8519-514936F6A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16</xdr:col>
      <xdr:colOff>304800</xdr:colOff>
      <xdr:row>38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9633E4-0D63-4185-9572-301F91204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31D8DD-AB68-4D17-9F07-D20ED80D8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E5645CEE-63FA-4BB6-88B0-1FAEEE36AA09}" autoFormatId="16" applyNumberFormats="0" applyBorderFormats="0" applyFontFormats="0" applyPatternFormats="0" applyAlignmentFormats="0" applyWidthHeightFormats="0">
  <queryTableRefresh nextId="5">
    <queryTableFields count="4">
      <queryTableField id="1" name="pricing_date" tableColumnId="1"/>
      <queryTableField id="2" name="27th Feb" tableColumnId="2"/>
      <queryTableField id="3" name="19th Mar" tableColumnId="3"/>
      <queryTableField id="4" name="10th Ap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2B9E5DAF-C8B5-4268-B3BD-A09C842C94EB}" autoFormatId="16" applyNumberFormats="0" applyBorderFormats="0" applyFontFormats="0" applyPatternFormats="0" applyAlignmentFormats="0" applyWidthHeightFormats="0">
  <queryTableRefresh nextId="5">
    <queryTableFields count="4">
      <queryTableField id="1" name="pricing_date" tableColumnId="1"/>
      <queryTableField id="2" name="27th Feb" tableColumnId="2"/>
      <queryTableField id="3" name="19th Mar" tableColumnId="3"/>
      <queryTableField id="4" name="10th Ap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5495B9E2-2D8E-45FD-942B-A9B1566A5C58}" autoFormatId="16" applyNumberFormats="0" applyBorderFormats="0" applyFontFormats="0" applyPatternFormats="0" applyAlignmentFormats="0" applyWidthHeightFormats="0">
  <queryTableRefresh nextId="5">
    <queryTableFields count="4">
      <queryTableField id="1" name="pricing_date" tableColumnId="1"/>
      <queryTableField id="2" name="27th Feb" tableColumnId="2"/>
      <queryTableField id="3" name="19th Mar" tableColumnId="3"/>
      <queryTableField id="4" name="10th Apr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0C934BC7-C093-4B3B-BC70-BC81CBC9B2C7}" autoFormatId="16" applyNumberFormats="0" applyBorderFormats="0" applyFontFormats="0" applyPatternFormats="0" applyAlignmentFormats="0" applyWidthHeightFormats="0">
  <queryTableRefresh nextId="5">
    <queryTableFields count="4">
      <queryTableField id="1" name="published_date" tableColumnId="1"/>
      <queryTableField id="2" name="Diesel" tableColumnId="2"/>
      <queryTableField id="3" name="Petrol" tableColumnId="3"/>
      <queryTableField id="4" name="Diesel - Petro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7F6B1755-9338-49D9-B58F-DE6EC13C062A}" autoFormatId="16" applyNumberFormats="0" applyBorderFormats="0" applyFontFormats="0" applyPatternFormats="0" applyAlignmentFormats="0" applyWidthHeightFormats="0">
  <queryTableRefresh nextId="6">
    <queryTableFields count="5">
      <queryTableField id="1" name="Amended Date" tableColumnId="1"/>
      <queryTableField id="2" name="pricing_date" tableColumnId="2"/>
      <queryTableField id="3" name="27th Feb" tableColumnId="3"/>
      <queryTableField id="4" name="19th Mar" tableColumnId="4"/>
      <queryTableField id="5" name="10th Apr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EBBC5857-251D-4DE6-A7B4-57042770CF08}" autoFormatId="16" applyNumberFormats="0" applyBorderFormats="0" applyFontFormats="0" applyPatternFormats="0" applyAlignmentFormats="0" applyWidthHeightFormats="0">
  <queryTableRefresh nextId="11">
    <queryTableFields count="10">
      <queryTableField id="1" name="pricing_date" tableColumnId="1"/>
      <queryTableField id="2" name="27th Feb" tableColumnId="2"/>
      <queryTableField id="3" name="19th Mar" tableColumnId="3"/>
      <queryTableField id="4" name="10th Apr" tableColumnId="4"/>
      <queryTableField id="5" name="USDCAD 27th Feb" tableColumnId="5"/>
      <queryTableField id="6" name="USDCAD 19th Mar" tableColumnId="6"/>
      <queryTableField id="7" name="USDCAD 10th Apr" tableColumnId="7"/>
      <queryTableField id="8" name="cpl 27th Feb" tableColumnId="8"/>
      <queryTableField id="9" name="cpl 19th Mar" tableColumnId="9"/>
      <queryTableField id="10" name="cpl 10th Apr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390250DA-4E4E-41EF-8BDE-6B14928D750E}" autoFormatId="16" applyNumberFormats="0" applyBorderFormats="0" applyFontFormats="0" applyPatternFormats="0" applyAlignmentFormats="0" applyWidthHeightFormats="0">
  <queryTableRefresh nextId="12">
    <queryTableFields count="11">
      <queryTableField id="1" name="published_date" tableColumnId="1"/>
      <queryTableField id="2" name="Jet Spot" tableColumnId="2"/>
      <queryTableField id="3" name="Diesel Spot" tableColumnId="3"/>
      <queryTableField id="4" name="NYH Diesel Spot" tableColumnId="4"/>
      <queryTableField id="5" name="FXRates.cad" tableColumnId="5"/>
      <queryTableField id="6" name="Diesel Forward" tableColumnId="6"/>
      <queryTableField id="7" name="Jet Forward" tableColumnId="7"/>
      <queryTableField id="8" name="NYH Diesel Forward" tableColumnId="8"/>
      <queryTableField id="9" name="Diesel Spot - Fwd" tableColumnId="9"/>
      <queryTableField id="10" name="Jet Spot - Fwd" tableColumnId="10"/>
      <queryTableField id="11" name="NYH Diesel Spot - Fwd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725FE6A0-11EC-4886-9D83-C124977B94D2}" autoFormatId="16" applyNumberFormats="0" applyBorderFormats="0" applyFontFormats="0" applyPatternFormats="0" applyAlignmentFormats="0" applyWidthHeightFormats="0">
  <queryTableRefresh nextId="7">
    <queryTableFields count="6">
      <queryTableField id="1" name="published_date" tableColumnId="1"/>
      <queryTableField id="2" name="pricing_date" tableColumnId="2"/>
      <queryTableField id="3" name="price" tableColumnId="3"/>
      <queryTableField id="4" name="relative_month" tableColumnId="4"/>
      <queryTableField id="5" name="volume" tableColumnId="5"/>
      <queryTableField id="6" name="open_interest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D1D6365-99DA-4D56-AD84-DA1998141F7A}" autoFormatId="16" applyNumberFormats="0" applyBorderFormats="0" applyFontFormats="0" applyPatternFormats="0" applyAlignmentFormats="0" applyWidthHeightFormats="0">
  <queryTableRefresh nextId="5">
    <queryTableFields count="4">
      <queryTableField id="1" name="published_date" tableColumnId="1"/>
      <queryTableField id="2" name="cad" tableColumnId="2"/>
      <queryTableField id="3" name="eur" tableColumnId="3"/>
      <queryTableField id="4" name="gb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444D8881-A4F8-4027-BADC-41B031A6B457}" autoFormatId="16" applyNumberFormats="0" applyBorderFormats="0" applyFontFormats="0" applyPatternFormats="0" applyAlignmentFormats="0" applyWidthHeightFormats="0">
  <queryTableRefresh nextId="2">
    <queryTableFields count="1">
      <queryTableField id="1" name="StartDate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8E218B8-2B2D-4F53-95E4-467B82DE6A25}" autoFormatId="16" applyNumberFormats="0" applyBorderFormats="0" applyFontFormats="0" applyPatternFormats="0" applyAlignmentFormats="0" applyWidthHeightFormats="0">
  <queryTableRefresh nextId="6">
    <queryTableFields count="5">
      <queryTableField id="1" name="published_date" tableColumnId="1"/>
      <queryTableField id="2" name="pjaau00" tableColumnId="2"/>
      <queryTableField id="3" name="aavbh00" tableColumnId="3"/>
      <queryTableField id="4" name="aatgx00" tableColumnId="4"/>
      <queryTableField id="5" name="FXRates.ca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AE14F6-A087-4810-80C6-2683DA4D940B}" name="Curve_Structure_Jet" displayName="Curve_Structure_Jet" ref="A1:D60" tableType="queryTable" totalsRowShown="0">
  <autoFilter ref="A1:D60" xr:uid="{B7AE14F6-A087-4810-80C6-2683DA4D940B}"/>
  <tableColumns count="4">
    <tableColumn id="1" xr3:uid="{56BB55E0-E2F2-4C51-9CF7-CEF8BDC68C1F}" uniqueName="1" name="pricing_date" queryTableFieldId="1" dataDxfId="12"/>
    <tableColumn id="2" xr3:uid="{74E31546-3C1B-437F-BC03-A80C7D9C561C}" uniqueName="2" name="27th Feb" queryTableFieldId="2"/>
    <tableColumn id="3" xr3:uid="{804E2EEA-CD64-49A0-A631-E25E846D6BE6}" uniqueName="3" name="19th Mar" queryTableFieldId="3"/>
    <tableColumn id="4" xr3:uid="{47FA8ADA-450F-46BF-96EC-861A1CE61B79}" uniqueName="4" name="10th Ap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DE3EB7-A86B-4E6B-BF2C-8804F2E69B8B}" name="Curve_Structure_WTI" displayName="Curve_Structure_WTI" ref="A1:D132" tableType="queryTable" totalsRowShown="0">
  <autoFilter ref="A1:D132" xr:uid="{F6DE3EB7-A86B-4E6B-BF2C-8804F2E69B8B}"/>
  <tableColumns count="4">
    <tableColumn id="1" xr3:uid="{89DA0E6D-E906-421D-B002-C7BD7BD55CA8}" uniqueName="1" name="pricing_date" queryTableFieldId="1" dataDxfId="11"/>
    <tableColumn id="2" xr3:uid="{713D169B-8762-4296-BC0E-AECDB8AD65B9}" uniqueName="2" name="27th Feb" queryTableFieldId="2"/>
    <tableColumn id="3" xr3:uid="{E24026FB-563D-4475-9452-BFF369ACD4E1}" uniqueName="3" name="19th Mar" queryTableFieldId="3"/>
    <tableColumn id="4" xr3:uid="{0B52B736-1CDA-42AB-8A5E-66CECADD0729}" uniqueName="4" name="10th Apr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9D47F6-74CD-4149-9E37-A8479AAEACAA}" name="Curve_Structure_Brent" displayName="Curve_Structure_Brent" ref="A1:D85" tableType="queryTable" totalsRowShown="0">
  <autoFilter ref="A1:D85" xr:uid="{119D47F6-74CD-4149-9E37-A8479AAEACAA}"/>
  <tableColumns count="4">
    <tableColumn id="1" xr3:uid="{35AF1C51-D899-41D4-8165-8DF2B7318366}" uniqueName="1" name="pricing_date" queryTableFieldId="1" dataDxfId="10"/>
    <tableColumn id="2" xr3:uid="{A515A2D1-4C9F-4E32-AE38-9C62FB6B27D9}" uniqueName="2" name="27th Feb" queryTableFieldId="2"/>
    <tableColumn id="3" xr3:uid="{43B62474-9940-487D-8D75-A27F091476B6}" uniqueName="3" name="19th Mar" queryTableFieldId="3"/>
    <tableColumn id="4" xr3:uid="{4A8ADB1D-7182-46DC-8429-4836CDBB7247}" uniqueName="4" name="10th Ap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D6CCBB-6A23-4297-A5E5-1920612DD1AE}" name="NRCAN_Canaada_Average" displayName="NRCAN_Canaada_Average" ref="A1:D72" tableType="queryTable" totalsRowShown="0">
  <autoFilter ref="A1:D72" xr:uid="{E6D6CCBB-6A23-4297-A5E5-1920612DD1AE}"/>
  <tableColumns count="4">
    <tableColumn id="1" xr3:uid="{AC6E9AB1-2437-4184-8CE2-9312EC71B0DF}" uniqueName="1" name="published_date" queryTableFieldId="1" dataDxfId="9"/>
    <tableColumn id="2" xr3:uid="{9D8D12B3-5D4A-42DF-9069-BE7A9CD07501}" uniqueName="2" name="Diesel" queryTableFieldId="2"/>
    <tableColumn id="3" xr3:uid="{24AA8612-5788-4DFB-980A-1FD36C26F05B}" uniqueName="3" name="Petrol" queryTableFieldId="3"/>
    <tableColumn id="4" xr3:uid="{B72675D4-0A53-4A2E-B3B6-5C5D4F7758F4}" uniqueName="4" name="Diesel - Petro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14044B-5A24-4BF0-B713-724D17AEED80}" name="Curve_Structure_USDCAD" displayName="Curve_Structure_USDCAD" ref="A1:E38" tableType="queryTable" totalsRowShown="0">
  <autoFilter ref="A1:E38" xr:uid="{AE14044B-5A24-4BF0-B713-724D17AEED80}"/>
  <tableColumns count="5">
    <tableColumn id="1" xr3:uid="{2D898171-B04F-45A0-9F78-FF6C1004C84B}" uniqueName="1" name="Amended Date" queryTableFieldId="1" dataDxfId="8"/>
    <tableColumn id="2" xr3:uid="{403EC1EC-3185-476B-86CB-B937191F48F4}" uniqueName="2" name="pricing_date" queryTableFieldId="2" dataDxfId="7"/>
    <tableColumn id="3" xr3:uid="{B8E0680C-9B7C-41C5-BCE0-541FD784C88F}" uniqueName="3" name="27th Feb" queryTableFieldId="3"/>
    <tableColumn id="4" xr3:uid="{174EFAF3-31F2-4174-B983-6E329E901FFD}" uniqueName="4" name="19th Mar" queryTableFieldId="4"/>
    <tableColumn id="5" xr3:uid="{811B7ED9-260A-4BF1-901D-3C5D5AAFC504}" uniqueName="5" name="10th Apr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F23430-5F8E-448F-A46F-F87E4E96B555}" name="Curve_Structure_Diesel" displayName="Curve_Structure_Diesel" ref="A1:J83" tableType="queryTable" totalsRowShown="0">
  <autoFilter ref="A1:J83" xr:uid="{99F23430-5F8E-448F-A46F-F87E4E96B555}"/>
  <tableColumns count="10">
    <tableColumn id="1" xr3:uid="{8FF14CE6-8B0C-4605-9E70-98A813091D55}" uniqueName="1" name="pricing_date" queryTableFieldId="1" dataDxfId="6"/>
    <tableColumn id="2" xr3:uid="{E509DB5B-3DD0-496E-9BEE-04A8CB6B74F8}" uniqueName="2" name="27th Feb" queryTableFieldId="2"/>
    <tableColumn id="3" xr3:uid="{2CBA35E8-D651-46F5-BAD8-A56BCD4434D8}" uniqueName="3" name="19th Mar" queryTableFieldId="3"/>
    <tableColumn id="4" xr3:uid="{6D91E61F-4982-40EB-8167-CBB2916CA852}" uniqueName="4" name="10th Apr" queryTableFieldId="4"/>
    <tableColumn id="5" xr3:uid="{2FF93300-9A89-45AF-854F-E22B52707210}" uniqueName="5" name="USDCAD 27th Feb" queryTableFieldId="5"/>
    <tableColumn id="6" xr3:uid="{150409FE-9335-48E4-896F-8590E3189CA9}" uniqueName="6" name="USDCAD 19th Mar" queryTableFieldId="6"/>
    <tableColumn id="7" xr3:uid="{B62F5900-6AD0-46A3-81BA-6C1E8148062A}" uniqueName="7" name="USDCAD 10th Apr" queryTableFieldId="7"/>
    <tableColumn id="8" xr3:uid="{97506BE0-3411-49D3-AF34-1D1D11885A10}" uniqueName="8" name="cpl 27th Feb" queryTableFieldId="8"/>
    <tableColumn id="9" xr3:uid="{EFC83388-20DF-45A7-84F6-76096C125A4F}" uniqueName="9" name="cpl 19th Mar" queryTableFieldId="9"/>
    <tableColumn id="10" xr3:uid="{51AB65AD-BC20-4E73-AE8B-5A4BECED09EC}" uniqueName="10" name="cpl 10th Apr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1CC04C-E88C-4909-B001-EE34BDD9E965}" name="Spot_vs_Forwards" displayName="Spot_vs_Forwards" ref="A1:K70" tableType="queryTable" totalsRowShown="0">
  <autoFilter ref="A1:K70" xr:uid="{F71CC04C-E88C-4909-B001-EE34BDD9E965}"/>
  <tableColumns count="11">
    <tableColumn id="1" xr3:uid="{D18D4E2A-B81D-4E14-927E-5305F1B3915B}" uniqueName="1" name="published_date" queryTableFieldId="1" dataDxfId="13"/>
    <tableColumn id="2" xr3:uid="{000CE621-F535-4BDC-8F53-DCD00E307460}" uniqueName="2" name="Jet Spot" queryTableFieldId="2"/>
    <tableColumn id="3" xr3:uid="{9890A3CC-3EF4-461B-AF5E-142E824AACE0}" uniqueName="3" name="Diesel Spot" queryTableFieldId="3"/>
    <tableColumn id="4" xr3:uid="{30AF19B9-2A57-47DA-8E6B-DCD4E3666B4D}" uniqueName="4" name="NYH Diesel Spot" queryTableFieldId="4"/>
    <tableColumn id="5" xr3:uid="{96E75257-B0DC-4FF0-BA37-A47589ECE4BA}" uniqueName="5" name="FXRates.cad" queryTableFieldId="5"/>
    <tableColumn id="6" xr3:uid="{C5F79C58-3F21-4D7B-AE0D-735F9D359FFD}" uniqueName="6" name="Diesel Forward" queryTableFieldId="6"/>
    <tableColumn id="7" xr3:uid="{0E70577A-9B98-4C96-AF05-F6962D87606E}" uniqueName="7" name="Jet Forward" queryTableFieldId="7"/>
    <tableColumn id="8" xr3:uid="{35B1F929-5AF6-44A5-9C43-3A001F088A71}" uniqueName="8" name="NYH Diesel Forward" queryTableFieldId="8"/>
    <tableColumn id="9" xr3:uid="{73F28E20-1FD9-43AA-846E-B0F50A690CCE}" uniqueName="9" name="Diesel Spot - Fwd" queryTableFieldId="9"/>
    <tableColumn id="10" xr3:uid="{9E10EEFE-CB9A-4D71-B13E-55ADE6854AD4}" uniqueName="10" name="Jet Spot - Fwd" queryTableFieldId="10"/>
    <tableColumn id="11" xr3:uid="{198A6897-9913-43C1-9D96-3918F41AE57B}" uniqueName="11" name="NYH Diesel Spot - Fwd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5C7C06-FC67-4183-8AED-40C2CD513D68}" name="Diesel" displayName="Diesel" ref="A1:F70" tableType="queryTable" totalsRowShown="0">
  <autoFilter ref="A1:F70" xr:uid="{E55C7C06-FC67-4183-8AED-40C2CD513D68}"/>
  <tableColumns count="6">
    <tableColumn id="1" xr3:uid="{0317DE63-078F-4E6F-B60B-83864FDB85E5}" uniqueName="1" name="published_date" queryTableFieldId="1" dataDxfId="5"/>
    <tableColumn id="2" xr3:uid="{B2EC16C0-F31C-4D36-8DD0-BE6B259588B4}" uniqueName="2" name="pricing_date" queryTableFieldId="2" dataDxfId="4"/>
    <tableColumn id="3" xr3:uid="{EF35B124-A8AB-4B14-8095-8ABE2BD6B0A2}" uniqueName="3" name="price" queryTableFieldId="3"/>
    <tableColumn id="4" xr3:uid="{1FF17BD1-C06B-4485-8633-ACB77EBE9849}" uniqueName="4" name="relative_month" queryTableFieldId="4" dataDxfId="3"/>
    <tableColumn id="5" xr3:uid="{AD6F62FF-F8AD-408D-9B1C-084EFFE58139}" uniqueName="5" name="volume" queryTableFieldId="5"/>
    <tableColumn id="6" xr3:uid="{0503787C-46C2-4002-B380-868D7A0EC43D}" uniqueName="6" name="open_interest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26EEED-B77F-42E3-9169-98F848C5945F}" name="FXRates" displayName="FXRates" ref="A1:D70" tableType="queryTable" totalsRowShown="0">
  <autoFilter ref="A1:D70" xr:uid="{9226EEED-B77F-42E3-9169-98F848C5945F}"/>
  <tableColumns count="4">
    <tableColumn id="1" xr3:uid="{9D4ACD18-F0F6-49C3-B7AD-124B66F2D715}" uniqueName="1" name="published_date" queryTableFieldId="1" dataDxfId="2"/>
    <tableColumn id="2" xr3:uid="{645A5E50-AE41-4852-B3EA-F30019D65BC2}" uniqueName="2" name="cad" queryTableFieldId="2"/>
    <tableColumn id="3" xr3:uid="{7FE6562B-2A61-4CA2-9B09-113FD4D3E6FE}" uniqueName="3" name="eur" queryTableFieldId="3"/>
    <tableColumn id="4" xr3:uid="{6340EC16-94FA-4524-A8CB-1722EBB66804}" uniqueName="4" name="gb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8F123-A1C7-439B-B1D5-B0CE8CA949F9}" name="StartDate" displayName="StartDate" ref="A1:A2" tableType="queryTable" totalsRowShown="0">
  <autoFilter ref="A1:A2" xr:uid="{FC18F123-A1C7-439B-B1D5-B0CE8CA949F9}"/>
  <tableColumns count="1">
    <tableColumn id="1" xr3:uid="{7B1B0799-A230-415B-B4A4-C0E9552185C5}" uniqueName="1" name="StartDate" queryTableFieldId="1" dataDxf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10967-339B-4A34-A4EF-90B7F21339E1}" name="Spot" displayName="Spot" ref="A1:E70" tableType="queryTable" totalsRowShown="0">
  <autoFilter ref="A1:E70" xr:uid="{B4C10967-339B-4A34-A4EF-90B7F21339E1}"/>
  <tableColumns count="5">
    <tableColumn id="1" xr3:uid="{F0943AAE-D5C9-47C6-B9A6-FF15B730891B}" uniqueName="1" name="published_date" queryTableFieldId="1" dataDxfId="0"/>
    <tableColumn id="2" xr3:uid="{FB1D42D3-5DFA-488D-9EA4-AAAD479CC2A8}" uniqueName="2" name="pjaau00" queryTableFieldId="2"/>
    <tableColumn id="3" xr3:uid="{242D4E39-15D0-4E74-AD5F-B12D4D174174}" uniqueName="3" name="aavbh00" queryTableFieldId="3"/>
    <tableColumn id="4" xr3:uid="{3F4CE338-686C-46A9-BB9F-12A1AF6FE9B0}" uniqueName="4" name="aatgx00" queryTableFieldId="4"/>
    <tableColumn id="5" xr3:uid="{54740814-5832-4819-AE4A-6B42F47A1F76}" uniqueName="5" name="FXRates.ca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DC65-54D8-4F2D-84AF-D6D5B4D409CE}">
  <dimension ref="A1:D60"/>
  <sheetViews>
    <sheetView workbookViewId="0"/>
  </sheetViews>
  <sheetFormatPr defaultRowHeight="15" x14ac:dyDescent="0.25"/>
  <cols>
    <col min="1" max="1" width="14.28515625" bestFit="1" customWidth="1"/>
    <col min="2" max="3" width="10.85546875" bestFit="1" customWidth="1"/>
    <col min="4" max="4" width="10.5703125" bestFit="1" customWidth="1"/>
  </cols>
  <sheetData>
    <row r="1" spans="1:4" x14ac:dyDescent="0.25">
      <c r="A1" t="s">
        <v>18</v>
      </c>
      <c r="B1" t="s">
        <v>24</v>
      </c>
      <c r="C1" t="s">
        <v>25</v>
      </c>
      <c r="D1" t="s">
        <v>26</v>
      </c>
    </row>
    <row r="2" spans="1:4" x14ac:dyDescent="0.25">
      <c r="A2" s="1">
        <v>46054</v>
      </c>
      <c r="B2">
        <v>781.56299999999999</v>
      </c>
      <c r="C2">
        <v>1600.136</v>
      </c>
      <c r="D2">
        <v>1525</v>
      </c>
    </row>
    <row r="3" spans="1:4" x14ac:dyDescent="0.25">
      <c r="A3" s="1">
        <v>46082</v>
      </c>
      <c r="B3">
        <v>820.54499999999996</v>
      </c>
      <c r="C3">
        <v>1628.9639999999999</v>
      </c>
      <c r="D3">
        <v>1426.6669999999999</v>
      </c>
    </row>
    <row r="4" spans="1:4" x14ac:dyDescent="0.25">
      <c r="A4" s="1">
        <v>46113</v>
      </c>
      <c r="B4">
        <v>801.92899999999997</v>
      </c>
      <c r="C4">
        <v>1396.25</v>
      </c>
      <c r="D4">
        <v>1305.7729999999999</v>
      </c>
    </row>
    <row r="5" spans="1:4" x14ac:dyDescent="0.25">
      <c r="A5" s="1">
        <v>46143</v>
      </c>
      <c r="B5">
        <v>785.5</v>
      </c>
      <c r="C5">
        <v>1207.318</v>
      </c>
      <c r="D5">
        <v>1214.8910000000001</v>
      </c>
    </row>
    <row r="6" spans="1:4" x14ac:dyDescent="0.25">
      <c r="A6" s="1">
        <v>46174</v>
      </c>
      <c r="B6">
        <v>771.95500000000004</v>
      </c>
      <c r="C6">
        <v>1120.3699999999999</v>
      </c>
      <c r="D6">
        <v>1151.25</v>
      </c>
    </row>
    <row r="7" spans="1:4" x14ac:dyDescent="0.25">
      <c r="A7" s="1">
        <v>46204</v>
      </c>
      <c r="B7">
        <v>761.38</v>
      </c>
      <c r="C7">
        <v>1069.5</v>
      </c>
      <c r="D7">
        <v>1109.4549999999999</v>
      </c>
    </row>
    <row r="8" spans="1:4" x14ac:dyDescent="0.25">
      <c r="A8" s="1">
        <v>46235</v>
      </c>
      <c r="B8">
        <v>754</v>
      </c>
      <c r="C8">
        <v>1027.9549999999999</v>
      </c>
      <c r="D8">
        <v>1029.8409999999999</v>
      </c>
    </row>
    <row r="9" spans="1:4" x14ac:dyDescent="0.25">
      <c r="A9" s="1">
        <v>46266</v>
      </c>
      <c r="B9">
        <v>747.45500000000004</v>
      </c>
      <c r="C9">
        <v>995.81799999999998</v>
      </c>
      <c r="D9">
        <v>997.60699999999997</v>
      </c>
    </row>
    <row r="10" spans="1:4" x14ac:dyDescent="0.25">
      <c r="A10" s="1">
        <v>46296</v>
      </c>
      <c r="B10">
        <v>741.47699999999998</v>
      </c>
      <c r="C10">
        <v>965.798</v>
      </c>
      <c r="D10">
        <v>972.52300000000002</v>
      </c>
    </row>
    <row r="11" spans="1:4" x14ac:dyDescent="0.25">
      <c r="A11" s="1">
        <v>46327</v>
      </c>
      <c r="B11">
        <v>733.58299999999997</v>
      </c>
      <c r="C11">
        <v>940.22699999999998</v>
      </c>
      <c r="D11">
        <v>964.7</v>
      </c>
    </row>
    <row r="12" spans="1:4" x14ac:dyDescent="0.25">
      <c r="A12" s="1">
        <v>46357</v>
      </c>
      <c r="B12">
        <v>727.68200000000002</v>
      </c>
      <c r="C12">
        <v>924.6</v>
      </c>
      <c r="D12">
        <v>949.05</v>
      </c>
    </row>
    <row r="13" spans="1:4" x14ac:dyDescent="0.25">
      <c r="A13" s="1">
        <v>46388</v>
      </c>
      <c r="B13">
        <v>721.97500000000002</v>
      </c>
      <c r="C13">
        <v>913.9</v>
      </c>
      <c r="D13">
        <v>930.97699999999998</v>
      </c>
    </row>
    <row r="14" spans="1:4" x14ac:dyDescent="0.25">
      <c r="A14" s="1">
        <v>46419</v>
      </c>
      <c r="B14">
        <v>717.55</v>
      </c>
      <c r="C14">
        <v>901</v>
      </c>
      <c r="D14">
        <v>918.92</v>
      </c>
    </row>
    <row r="15" spans="1:4" x14ac:dyDescent="0.25">
      <c r="A15" s="1">
        <v>46447</v>
      </c>
      <c r="B15">
        <v>713.38599999999997</v>
      </c>
      <c r="C15">
        <v>887.86400000000003</v>
      </c>
      <c r="D15">
        <v>908.66700000000003</v>
      </c>
    </row>
    <row r="16" spans="1:4" x14ac:dyDescent="0.25">
      <c r="A16" s="1">
        <v>46478</v>
      </c>
      <c r="B16">
        <v>709.19299999999998</v>
      </c>
      <c r="C16">
        <v>879.5</v>
      </c>
      <c r="D16">
        <v>899.79499999999996</v>
      </c>
    </row>
    <row r="17" spans="1:4" x14ac:dyDescent="0.25">
      <c r="A17" s="1">
        <v>46508</v>
      </c>
      <c r="B17">
        <v>705.83299999999997</v>
      </c>
      <c r="C17">
        <v>872.65899999999999</v>
      </c>
      <c r="D17">
        <v>887.81799999999998</v>
      </c>
    </row>
    <row r="18" spans="1:4" x14ac:dyDescent="0.25">
      <c r="A18" s="1">
        <v>46539</v>
      </c>
      <c r="B18">
        <v>703.55700000000002</v>
      </c>
      <c r="C18">
        <v>867.68200000000002</v>
      </c>
      <c r="D18">
        <v>882.40899999999999</v>
      </c>
    </row>
    <row r="19" spans="1:4" x14ac:dyDescent="0.25">
      <c r="A19" s="1">
        <v>46569</v>
      </c>
      <c r="B19">
        <v>702.31799999999998</v>
      </c>
      <c r="C19">
        <v>864.34100000000001</v>
      </c>
      <c r="D19">
        <v>877.77300000000002</v>
      </c>
    </row>
    <row r="20" spans="1:4" x14ac:dyDescent="0.25">
      <c r="A20" s="1">
        <v>46600</v>
      </c>
      <c r="B20">
        <v>701.68200000000002</v>
      </c>
      <c r="C20">
        <v>861.88599999999997</v>
      </c>
      <c r="D20">
        <v>868.16700000000003</v>
      </c>
    </row>
    <row r="21" spans="1:4" x14ac:dyDescent="0.25">
      <c r="A21" s="1">
        <v>46631</v>
      </c>
      <c r="B21">
        <v>701.84100000000001</v>
      </c>
      <c r="C21">
        <v>858.08299999999997</v>
      </c>
      <c r="D21">
        <v>861.38599999999997</v>
      </c>
    </row>
    <row r="22" spans="1:4" x14ac:dyDescent="0.25">
      <c r="A22" s="1">
        <v>46661</v>
      </c>
      <c r="B22">
        <v>700.5</v>
      </c>
      <c r="C22">
        <v>853</v>
      </c>
      <c r="D22">
        <v>855.96699999999998</v>
      </c>
    </row>
    <row r="23" spans="1:4" x14ac:dyDescent="0.25">
      <c r="A23" s="1">
        <v>46692</v>
      </c>
      <c r="B23">
        <v>697.84100000000001</v>
      </c>
      <c r="C23">
        <v>848.73900000000003</v>
      </c>
      <c r="D23">
        <v>851.75</v>
      </c>
    </row>
    <row r="24" spans="1:4" x14ac:dyDescent="0.25">
      <c r="A24" s="1">
        <v>46722</v>
      </c>
      <c r="B24">
        <v>696.05399999999997</v>
      </c>
      <c r="C24">
        <v>836.25</v>
      </c>
      <c r="D24">
        <v>848.41700000000003</v>
      </c>
    </row>
    <row r="25" spans="1:4" x14ac:dyDescent="0.25">
      <c r="A25" s="1">
        <v>46753</v>
      </c>
      <c r="B25">
        <v>693.75</v>
      </c>
      <c r="C25">
        <v>833.83299999999997</v>
      </c>
      <c r="D25">
        <v>843.77200000000005</v>
      </c>
    </row>
    <row r="26" spans="1:4" x14ac:dyDescent="0.25">
      <c r="A26" s="1">
        <v>46784</v>
      </c>
      <c r="B26">
        <v>693.41700000000003</v>
      </c>
      <c r="C26">
        <v>830.04300000000001</v>
      </c>
      <c r="D26">
        <v>839.56600000000003</v>
      </c>
    </row>
    <row r="27" spans="1:4" x14ac:dyDescent="0.25">
      <c r="A27" s="1">
        <v>46813</v>
      </c>
      <c r="B27">
        <v>692.20699999999999</v>
      </c>
      <c r="C27">
        <v>825.59199999999998</v>
      </c>
      <c r="D27">
        <v>815.55399999999997</v>
      </c>
    </row>
    <row r="28" spans="1:4" x14ac:dyDescent="0.25">
      <c r="A28" s="1">
        <v>46844</v>
      </c>
      <c r="B28">
        <v>690.96100000000001</v>
      </c>
      <c r="C28">
        <v>820.65200000000004</v>
      </c>
      <c r="D28">
        <v>812.03399999999999</v>
      </c>
    </row>
    <row r="29" spans="1:4" x14ac:dyDescent="0.25">
      <c r="A29" s="1">
        <v>46874</v>
      </c>
      <c r="B29">
        <v>689.68499999999995</v>
      </c>
      <c r="C29">
        <v>817.125</v>
      </c>
      <c r="D29">
        <v>809</v>
      </c>
    </row>
    <row r="30" spans="1:4" x14ac:dyDescent="0.25">
      <c r="A30" s="1">
        <v>46905</v>
      </c>
      <c r="B30">
        <v>688.90899999999999</v>
      </c>
      <c r="C30">
        <v>813.91700000000003</v>
      </c>
      <c r="D30">
        <v>806.43499999999995</v>
      </c>
    </row>
    <row r="31" spans="1:4" x14ac:dyDescent="0.25">
      <c r="A31" s="1">
        <v>46935</v>
      </c>
      <c r="B31">
        <v>688.58299999999997</v>
      </c>
      <c r="C31">
        <v>811.35900000000004</v>
      </c>
      <c r="D31">
        <v>804.58299999999997</v>
      </c>
    </row>
    <row r="32" spans="1:4" x14ac:dyDescent="0.25">
      <c r="A32" s="1">
        <v>46966</v>
      </c>
      <c r="B32">
        <v>688.67399999999998</v>
      </c>
      <c r="C32">
        <v>809.41700000000003</v>
      </c>
      <c r="D32">
        <v>800.81799999999998</v>
      </c>
    </row>
    <row r="33" spans="1:4" x14ac:dyDescent="0.25">
      <c r="A33" s="1">
        <v>46997</v>
      </c>
      <c r="B33">
        <v>689.25</v>
      </c>
      <c r="C33">
        <v>806.04499999999996</v>
      </c>
      <c r="D33">
        <v>795.42</v>
      </c>
    </row>
    <row r="34" spans="1:4" x14ac:dyDescent="0.25">
      <c r="A34" s="1">
        <v>47027</v>
      </c>
      <c r="B34">
        <v>688.22699999999998</v>
      </c>
      <c r="C34">
        <v>801.09100000000001</v>
      </c>
      <c r="D34">
        <v>792.93799999999999</v>
      </c>
    </row>
    <row r="35" spans="1:4" x14ac:dyDescent="0.25">
      <c r="A35" s="1">
        <v>47058</v>
      </c>
      <c r="B35">
        <v>685.625</v>
      </c>
      <c r="C35">
        <v>799.01300000000003</v>
      </c>
      <c r="D35">
        <v>790.79499999999996</v>
      </c>
    </row>
    <row r="36" spans="1:4" x14ac:dyDescent="0.25">
      <c r="A36" s="1">
        <v>47088</v>
      </c>
      <c r="B36">
        <v>684.58799999999997</v>
      </c>
      <c r="C36">
        <v>798.40899999999999</v>
      </c>
      <c r="D36">
        <v>788.7</v>
      </c>
    </row>
    <row r="37" spans="1:4" x14ac:dyDescent="0.25">
      <c r="A37" s="1">
        <v>47119</v>
      </c>
      <c r="B37">
        <v>684.67</v>
      </c>
      <c r="C37">
        <v>797.92499999999995</v>
      </c>
      <c r="D37">
        <v>786.5</v>
      </c>
    </row>
    <row r="38" spans="1:4" x14ac:dyDescent="0.25">
      <c r="A38" s="1">
        <v>47150</v>
      </c>
      <c r="B38">
        <v>684.91300000000001</v>
      </c>
      <c r="C38">
        <v>797.25</v>
      </c>
      <c r="D38">
        <v>784.51199999999994</v>
      </c>
    </row>
    <row r="39" spans="1:4" x14ac:dyDescent="0.25">
      <c r="A39" s="1">
        <v>47178</v>
      </c>
      <c r="B39">
        <v>685.16700000000003</v>
      </c>
      <c r="C39">
        <v>796.53599999999994</v>
      </c>
      <c r="D39">
        <v>782.53300000000002</v>
      </c>
    </row>
    <row r="40" spans="1:4" x14ac:dyDescent="0.25">
      <c r="A40" s="1">
        <v>47209</v>
      </c>
      <c r="B40">
        <v>685.40499999999997</v>
      </c>
      <c r="C40">
        <v>795.55399999999997</v>
      </c>
      <c r="D40">
        <v>782.16700000000003</v>
      </c>
    </row>
    <row r="41" spans="1:4" x14ac:dyDescent="0.25">
      <c r="A41" s="1">
        <v>47239</v>
      </c>
      <c r="B41">
        <v>685.15200000000004</v>
      </c>
      <c r="C41">
        <v>794.91700000000003</v>
      </c>
      <c r="D41">
        <v>782.40899999999999</v>
      </c>
    </row>
    <row r="42" spans="1:4" x14ac:dyDescent="0.25">
      <c r="A42" s="1">
        <v>47270</v>
      </c>
      <c r="B42">
        <v>685.16700000000003</v>
      </c>
      <c r="C42">
        <v>794.43200000000002</v>
      </c>
      <c r="D42">
        <v>782.67399999999998</v>
      </c>
    </row>
    <row r="43" spans="1:4" x14ac:dyDescent="0.25">
      <c r="A43" s="1">
        <v>47300</v>
      </c>
      <c r="B43">
        <v>685.40899999999999</v>
      </c>
      <c r="C43">
        <v>793.72799999999995</v>
      </c>
      <c r="D43">
        <v>782.91300000000001</v>
      </c>
    </row>
    <row r="44" spans="1:4" x14ac:dyDescent="0.25">
      <c r="A44" s="1">
        <v>47331</v>
      </c>
      <c r="B44">
        <v>685.84799999999996</v>
      </c>
      <c r="C44">
        <v>792.85</v>
      </c>
      <c r="D44">
        <v>783.16300000000001</v>
      </c>
    </row>
    <row r="45" spans="1:4" x14ac:dyDescent="0.25">
      <c r="A45" s="1">
        <v>47362</v>
      </c>
      <c r="B45">
        <v>686.16300000000001</v>
      </c>
      <c r="C45">
        <v>791.52200000000005</v>
      </c>
      <c r="D45">
        <v>782.73900000000003</v>
      </c>
    </row>
    <row r="46" spans="1:4" x14ac:dyDescent="0.25">
      <c r="A46" s="1">
        <v>47392</v>
      </c>
      <c r="B46">
        <v>686.08699999999999</v>
      </c>
      <c r="C46">
        <v>789.46600000000001</v>
      </c>
      <c r="D46">
        <v>782.66300000000001</v>
      </c>
    </row>
    <row r="47" spans="1:4" x14ac:dyDescent="0.25">
      <c r="A47" s="1">
        <v>47423</v>
      </c>
      <c r="B47">
        <v>684.97699999999998</v>
      </c>
      <c r="C47">
        <v>788.91300000000001</v>
      </c>
      <c r="D47">
        <v>783.11400000000003</v>
      </c>
    </row>
    <row r="48" spans="1:4" x14ac:dyDescent="0.25">
      <c r="A48" s="1">
        <v>47453</v>
      </c>
      <c r="B48">
        <v>684.66300000000001</v>
      </c>
      <c r="C48">
        <v>789.36400000000003</v>
      </c>
      <c r="D48">
        <v>783.57500000000005</v>
      </c>
    </row>
    <row r="49" spans="1:4" x14ac:dyDescent="0.25">
      <c r="A49" s="1">
        <v>47484</v>
      </c>
      <c r="B49">
        <v>685.11400000000003</v>
      </c>
      <c r="C49">
        <v>789.82500000000005</v>
      </c>
      <c r="D49">
        <v>783.91700000000003</v>
      </c>
    </row>
    <row r="50" spans="1:4" x14ac:dyDescent="0.25">
      <c r="A50" s="1">
        <v>47515</v>
      </c>
      <c r="B50">
        <v>685.41300000000001</v>
      </c>
      <c r="C50">
        <v>790.16700000000003</v>
      </c>
      <c r="D50">
        <v>784.15499999999997</v>
      </c>
    </row>
    <row r="51" spans="1:4" x14ac:dyDescent="0.25">
      <c r="A51" s="1">
        <v>47543</v>
      </c>
      <c r="B51">
        <v>685.66700000000003</v>
      </c>
      <c r="C51">
        <v>790.40499999999997</v>
      </c>
      <c r="D51">
        <v>784.42399999999998</v>
      </c>
    </row>
    <row r="52" spans="1:4" x14ac:dyDescent="0.25">
      <c r="A52" s="1">
        <v>47574</v>
      </c>
      <c r="B52">
        <v>685.90499999999997</v>
      </c>
      <c r="C52">
        <v>790.67399999999998</v>
      </c>
      <c r="D52">
        <v>784.66300000000001</v>
      </c>
    </row>
    <row r="53" spans="1:4" x14ac:dyDescent="0.25">
      <c r="A53" s="1">
        <v>47604</v>
      </c>
      <c r="B53">
        <v>686.17399999999998</v>
      </c>
      <c r="C53">
        <v>790.91300000000001</v>
      </c>
      <c r="D53">
        <v>784.91300000000001</v>
      </c>
    </row>
    <row r="54" spans="1:4" x14ac:dyDescent="0.25">
      <c r="A54" s="1">
        <v>47635</v>
      </c>
      <c r="B54">
        <v>686.41300000000001</v>
      </c>
      <c r="C54">
        <v>791.16300000000001</v>
      </c>
      <c r="D54">
        <v>785.17</v>
      </c>
    </row>
    <row r="55" spans="1:4" x14ac:dyDescent="0.25">
      <c r="A55" s="1">
        <v>47665</v>
      </c>
      <c r="B55">
        <v>686.66300000000001</v>
      </c>
      <c r="C55">
        <v>791.25</v>
      </c>
      <c r="D55">
        <v>785.71400000000006</v>
      </c>
    </row>
    <row r="56" spans="1:4" x14ac:dyDescent="0.25">
      <c r="A56" s="1">
        <v>47696</v>
      </c>
      <c r="B56">
        <v>686.75</v>
      </c>
      <c r="C56">
        <v>791.56</v>
      </c>
      <c r="D56">
        <v>786.17399999999998</v>
      </c>
    </row>
    <row r="57" spans="1:4" x14ac:dyDescent="0.25">
      <c r="A57" s="1">
        <v>47727</v>
      </c>
      <c r="B57">
        <v>687.06</v>
      </c>
      <c r="C57">
        <v>791.92399999999998</v>
      </c>
      <c r="D57">
        <v>785.91700000000003</v>
      </c>
    </row>
    <row r="58" spans="1:4" x14ac:dyDescent="0.25">
      <c r="A58" s="1">
        <v>47757</v>
      </c>
      <c r="B58">
        <v>687.42399999999998</v>
      </c>
      <c r="C58">
        <v>791.66700000000003</v>
      </c>
      <c r="D58">
        <v>785.90499999999997</v>
      </c>
    </row>
    <row r="59" spans="1:4" x14ac:dyDescent="0.25">
      <c r="A59" s="1">
        <v>47788</v>
      </c>
      <c r="B59">
        <v>687.16700000000003</v>
      </c>
      <c r="C59">
        <v>791.65499999999997</v>
      </c>
    </row>
    <row r="60" spans="1:4" x14ac:dyDescent="0.25">
      <c r="A60" s="1">
        <v>47818</v>
      </c>
      <c r="B60">
        <v>687.15499999999997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ED87-02D0-41ED-939E-82BC64C72F99}">
  <dimension ref="A1:AR132"/>
  <sheetViews>
    <sheetView topLeftCell="A96" workbookViewId="0">
      <selection sqref="A1:D132"/>
    </sheetView>
  </sheetViews>
  <sheetFormatPr defaultRowHeight="15" x14ac:dyDescent="0.25"/>
  <cols>
    <col min="1" max="1" width="14.28515625" bestFit="1" customWidth="1"/>
    <col min="2" max="3" width="10.85546875" bestFit="1" customWidth="1"/>
    <col min="4" max="4" width="10.5703125" bestFit="1" customWidth="1"/>
    <col min="7" max="44" width="9.140625" style="2"/>
  </cols>
  <sheetData>
    <row r="1" spans="1:4" x14ac:dyDescent="0.25">
      <c r="A1" t="s">
        <v>18</v>
      </c>
      <c r="B1" t="s">
        <v>24</v>
      </c>
      <c r="C1" t="s">
        <v>25</v>
      </c>
      <c r="D1" t="s">
        <v>26</v>
      </c>
    </row>
    <row r="2" spans="1:4" x14ac:dyDescent="0.25">
      <c r="A2" s="1">
        <v>46113</v>
      </c>
      <c r="B2">
        <v>67.02</v>
      </c>
      <c r="C2">
        <v>96.139999999999986</v>
      </c>
      <c r="D2">
        <v>96.57</v>
      </c>
    </row>
    <row r="3" spans="1:4" x14ac:dyDescent="0.25">
      <c r="A3" s="1">
        <v>46143</v>
      </c>
      <c r="B3">
        <v>66.89</v>
      </c>
      <c r="C3">
        <v>95.55</v>
      </c>
      <c r="D3">
        <v>89.58</v>
      </c>
    </row>
    <row r="4" spans="1:4" x14ac:dyDescent="0.25">
      <c r="A4" s="1">
        <v>46174</v>
      </c>
      <c r="B4">
        <v>66.56</v>
      </c>
      <c r="C4">
        <v>92.960000000000008</v>
      </c>
      <c r="D4">
        <v>84.93</v>
      </c>
    </row>
    <row r="5" spans="1:4" x14ac:dyDescent="0.25">
      <c r="A5" s="1">
        <v>46204</v>
      </c>
      <c r="B5">
        <v>66.180000000000007</v>
      </c>
      <c r="C5">
        <v>89.97</v>
      </c>
      <c r="D5">
        <v>81.260000000000005</v>
      </c>
    </row>
    <row r="6" spans="1:4" x14ac:dyDescent="0.25">
      <c r="A6" s="1">
        <v>46235</v>
      </c>
      <c r="B6">
        <v>65.7</v>
      </c>
      <c r="C6">
        <v>86.64</v>
      </c>
      <c r="D6">
        <v>79.02</v>
      </c>
    </row>
    <row r="7" spans="1:4" x14ac:dyDescent="0.25">
      <c r="A7" s="1">
        <v>46266</v>
      </c>
      <c r="B7">
        <v>65.150000000000006</v>
      </c>
      <c r="C7">
        <v>83.759999999999991</v>
      </c>
      <c r="D7">
        <v>77.3</v>
      </c>
    </row>
    <row r="8" spans="1:4" x14ac:dyDescent="0.25">
      <c r="A8" s="1">
        <v>46296</v>
      </c>
      <c r="B8">
        <v>64.62</v>
      </c>
      <c r="C8">
        <v>81.37</v>
      </c>
      <c r="D8">
        <v>76.150000000000006</v>
      </c>
    </row>
    <row r="9" spans="1:4" x14ac:dyDescent="0.25">
      <c r="A9" s="1">
        <v>46327</v>
      </c>
      <c r="B9">
        <v>64.14</v>
      </c>
      <c r="C9">
        <v>79.679999999999993</v>
      </c>
      <c r="D9">
        <v>75.25</v>
      </c>
    </row>
    <row r="10" spans="1:4" x14ac:dyDescent="0.25">
      <c r="A10" s="1">
        <v>46357</v>
      </c>
      <c r="B10">
        <v>63.73</v>
      </c>
      <c r="C10">
        <v>78.41</v>
      </c>
      <c r="D10">
        <v>74.5</v>
      </c>
    </row>
    <row r="11" spans="1:4" x14ac:dyDescent="0.25">
      <c r="A11" s="1">
        <v>46388</v>
      </c>
      <c r="B11">
        <v>63.35</v>
      </c>
      <c r="C11">
        <v>77.349999999999994</v>
      </c>
      <c r="D11">
        <v>73.86</v>
      </c>
    </row>
    <row r="12" spans="1:4" x14ac:dyDescent="0.25">
      <c r="A12" s="1">
        <v>46419</v>
      </c>
      <c r="B12">
        <v>63.03</v>
      </c>
      <c r="C12">
        <v>76.5</v>
      </c>
      <c r="D12">
        <v>73.319999999999993</v>
      </c>
    </row>
    <row r="13" spans="1:4" x14ac:dyDescent="0.25">
      <c r="A13" s="1">
        <v>46447</v>
      </c>
      <c r="B13">
        <v>62.77</v>
      </c>
      <c r="C13">
        <v>75.83</v>
      </c>
      <c r="D13">
        <v>72.87</v>
      </c>
    </row>
    <row r="14" spans="1:4" x14ac:dyDescent="0.25">
      <c r="A14" s="1">
        <v>46478</v>
      </c>
      <c r="B14">
        <v>62.56</v>
      </c>
      <c r="C14">
        <v>75.319999999999993</v>
      </c>
      <c r="D14">
        <v>72.489999999999995</v>
      </c>
    </row>
    <row r="15" spans="1:4" x14ac:dyDescent="0.25">
      <c r="A15" s="1">
        <v>46508</v>
      </c>
      <c r="B15">
        <v>62.39</v>
      </c>
      <c r="C15">
        <v>74.92</v>
      </c>
      <c r="D15">
        <v>72.13</v>
      </c>
    </row>
    <row r="16" spans="1:4" x14ac:dyDescent="0.25">
      <c r="A16" s="1">
        <v>46539</v>
      </c>
      <c r="B16">
        <v>62.25</v>
      </c>
      <c r="C16">
        <v>74.55</v>
      </c>
      <c r="D16">
        <v>71.78</v>
      </c>
    </row>
    <row r="17" spans="1:4" x14ac:dyDescent="0.25">
      <c r="A17" s="1">
        <v>46569</v>
      </c>
      <c r="B17">
        <v>62.1</v>
      </c>
      <c r="C17">
        <v>74.180000000000007</v>
      </c>
      <c r="D17">
        <v>71.45</v>
      </c>
    </row>
    <row r="18" spans="1:4" x14ac:dyDescent="0.25">
      <c r="A18" s="1">
        <v>46600</v>
      </c>
      <c r="B18">
        <v>61.95</v>
      </c>
      <c r="C18">
        <v>73.8</v>
      </c>
      <c r="D18">
        <v>71.150000000000006</v>
      </c>
    </row>
    <row r="19" spans="1:4" x14ac:dyDescent="0.25">
      <c r="A19" s="1">
        <v>46631</v>
      </c>
      <c r="B19">
        <v>61.83</v>
      </c>
      <c r="C19">
        <v>73.429999999999993</v>
      </c>
      <c r="D19">
        <v>70.87</v>
      </c>
    </row>
    <row r="20" spans="1:4" x14ac:dyDescent="0.25">
      <c r="A20" s="1">
        <v>46661</v>
      </c>
      <c r="B20">
        <v>61.74</v>
      </c>
      <c r="C20">
        <v>73.12</v>
      </c>
      <c r="D20">
        <v>70.62</v>
      </c>
    </row>
    <row r="21" spans="1:4" x14ac:dyDescent="0.25">
      <c r="A21" s="1">
        <v>46692</v>
      </c>
      <c r="B21">
        <v>61.69</v>
      </c>
      <c r="C21">
        <v>72.83</v>
      </c>
      <c r="D21">
        <v>70.38</v>
      </c>
    </row>
    <row r="22" spans="1:4" x14ac:dyDescent="0.25">
      <c r="A22" s="1">
        <v>46722</v>
      </c>
      <c r="B22">
        <v>61.64</v>
      </c>
      <c r="C22">
        <v>72.55</v>
      </c>
      <c r="D22">
        <v>70.09</v>
      </c>
    </row>
    <row r="23" spans="1:4" x14ac:dyDescent="0.25">
      <c r="A23" s="1">
        <v>46753</v>
      </c>
      <c r="B23">
        <v>61.56</v>
      </c>
      <c r="C23">
        <v>72.23</v>
      </c>
      <c r="D23">
        <v>69.81</v>
      </c>
    </row>
    <row r="24" spans="1:4" x14ac:dyDescent="0.25">
      <c r="A24" s="1">
        <v>46784</v>
      </c>
      <c r="B24">
        <v>61.48</v>
      </c>
      <c r="C24">
        <v>71.91</v>
      </c>
      <c r="D24">
        <v>69.56</v>
      </c>
    </row>
    <row r="25" spans="1:4" x14ac:dyDescent="0.25">
      <c r="A25" s="1">
        <v>46813</v>
      </c>
      <c r="B25">
        <v>61.41</v>
      </c>
      <c r="C25">
        <v>71.61</v>
      </c>
      <c r="D25">
        <v>69.34</v>
      </c>
    </row>
    <row r="26" spans="1:4" x14ac:dyDescent="0.25">
      <c r="A26" s="1">
        <v>46844</v>
      </c>
      <c r="B26">
        <v>61.36</v>
      </c>
      <c r="C26">
        <v>71.34</v>
      </c>
      <c r="D26">
        <v>69.17</v>
      </c>
    </row>
    <row r="27" spans="1:4" x14ac:dyDescent="0.25">
      <c r="A27" s="1">
        <v>46874</v>
      </c>
      <c r="B27">
        <v>61.37</v>
      </c>
      <c r="C27">
        <v>71.13</v>
      </c>
      <c r="D27">
        <v>69</v>
      </c>
    </row>
    <row r="28" spans="1:4" x14ac:dyDescent="0.25">
      <c r="A28" s="1">
        <v>46905</v>
      </c>
      <c r="B28">
        <v>61.4</v>
      </c>
      <c r="C28">
        <v>70.97</v>
      </c>
      <c r="D28">
        <v>68.790000000000006</v>
      </c>
    </row>
    <row r="29" spans="1:4" x14ac:dyDescent="0.25">
      <c r="A29" s="1">
        <v>46935</v>
      </c>
      <c r="B29">
        <v>61.39</v>
      </c>
      <c r="C29">
        <v>70.760000000000005</v>
      </c>
      <c r="D29">
        <v>68.569999999999993</v>
      </c>
    </row>
    <row r="30" spans="1:4" x14ac:dyDescent="0.25">
      <c r="A30" s="1">
        <v>46966</v>
      </c>
      <c r="B30">
        <v>61.37</v>
      </c>
      <c r="C30">
        <v>70.510000000000005</v>
      </c>
      <c r="D30">
        <v>68.349999999999994</v>
      </c>
    </row>
    <row r="31" spans="1:4" x14ac:dyDescent="0.25">
      <c r="A31" s="1">
        <v>46997</v>
      </c>
      <c r="B31">
        <v>61.37</v>
      </c>
      <c r="C31">
        <v>70.27</v>
      </c>
      <c r="D31">
        <v>68.150000000000006</v>
      </c>
    </row>
    <row r="32" spans="1:4" x14ac:dyDescent="0.25">
      <c r="A32" s="1">
        <v>47027</v>
      </c>
      <c r="B32">
        <v>61.38</v>
      </c>
      <c r="C32">
        <v>70.05</v>
      </c>
      <c r="D32">
        <v>68</v>
      </c>
    </row>
    <row r="33" spans="1:4" x14ac:dyDescent="0.25">
      <c r="A33" s="1">
        <v>47058</v>
      </c>
      <c r="B33">
        <v>61.42</v>
      </c>
      <c r="C33">
        <v>69.87</v>
      </c>
      <c r="D33">
        <v>67.84</v>
      </c>
    </row>
    <row r="34" spans="1:4" x14ac:dyDescent="0.25">
      <c r="A34" s="1">
        <v>47088</v>
      </c>
      <c r="B34">
        <v>61.49</v>
      </c>
      <c r="C34">
        <v>69.73</v>
      </c>
      <c r="D34">
        <v>67.63</v>
      </c>
    </row>
    <row r="35" spans="1:4" x14ac:dyDescent="0.25">
      <c r="A35" s="1">
        <v>47119</v>
      </c>
      <c r="B35">
        <v>61.5</v>
      </c>
      <c r="C35">
        <v>69.53</v>
      </c>
      <c r="D35">
        <v>67.41</v>
      </c>
    </row>
    <row r="36" spans="1:4" x14ac:dyDescent="0.25">
      <c r="A36" s="1">
        <v>47150</v>
      </c>
      <c r="B36">
        <v>61.5</v>
      </c>
      <c r="C36">
        <v>69.290000000000006</v>
      </c>
      <c r="D36">
        <v>67.209999999999994</v>
      </c>
    </row>
    <row r="37" spans="1:4" x14ac:dyDescent="0.25">
      <c r="A37" s="1">
        <v>47178</v>
      </c>
      <c r="B37">
        <v>61.52</v>
      </c>
      <c r="C37">
        <v>69.11</v>
      </c>
      <c r="D37">
        <v>67.03</v>
      </c>
    </row>
    <row r="38" spans="1:4" x14ac:dyDescent="0.25">
      <c r="A38" s="1">
        <v>47209</v>
      </c>
      <c r="B38">
        <v>61.56</v>
      </c>
      <c r="C38">
        <v>68.930000000000007</v>
      </c>
      <c r="D38">
        <v>66.88</v>
      </c>
    </row>
    <row r="39" spans="1:4" x14ac:dyDescent="0.25">
      <c r="A39" s="1">
        <v>47239</v>
      </c>
      <c r="B39">
        <v>61.61</v>
      </c>
      <c r="C39">
        <v>68.790000000000006</v>
      </c>
      <c r="D39">
        <v>66.72</v>
      </c>
    </row>
    <row r="40" spans="1:4" x14ac:dyDescent="0.25">
      <c r="A40" s="1">
        <v>47270</v>
      </c>
      <c r="B40">
        <v>61.64</v>
      </c>
      <c r="C40">
        <v>68.61</v>
      </c>
      <c r="D40">
        <v>66.510000000000005</v>
      </c>
    </row>
    <row r="41" spans="1:4" x14ac:dyDescent="0.25">
      <c r="A41" s="1">
        <v>47300</v>
      </c>
      <c r="B41">
        <v>61.64</v>
      </c>
      <c r="C41">
        <v>68.38</v>
      </c>
      <c r="D41">
        <v>66.31</v>
      </c>
    </row>
    <row r="42" spans="1:4" x14ac:dyDescent="0.25">
      <c r="A42" s="1">
        <v>47331</v>
      </c>
      <c r="B42">
        <v>61.66</v>
      </c>
      <c r="C42">
        <v>68.209999999999994</v>
      </c>
      <c r="D42">
        <v>66.099999999999994</v>
      </c>
    </row>
    <row r="43" spans="1:4" x14ac:dyDescent="0.25">
      <c r="A43" s="1">
        <v>47362</v>
      </c>
      <c r="B43">
        <v>61.68</v>
      </c>
      <c r="C43">
        <v>68.03</v>
      </c>
      <c r="D43">
        <v>65.900000000000006</v>
      </c>
    </row>
    <row r="44" spans="1:4" x14ac:dyDescent="0.25">
      <c r="A44" s="1">
        <v>47392</v>
      </c>
      <c r="B44">
        <v>61.71</v>
      </c>
      <c r="C44">
        <v>67.849999999999994</v>
      </c>
      <c r="D44">
        <v>65.8</v>
      </c>
    </row>
    <row r="45" spans="1:4" x14ac:dyDescent="0.25">
      <c r="A45" s="1">
        <v>47423</v>
      </c>
      <c r="B45">
        <v>61.75</v>
      </c>
      <c r="C45">
        <v>67.69</v>
      </c>
      <c r="D45">
        <v>65.64</v>
      </c>
    </row>
    <row r="46" spans="1:4" x14ac:dyDescent="0.25">
      <c r="A46" s="1">
        <v>47453</v>
      </c>
      <c r="B46">
        <v>61.8</v>
      </c>
      <c r="C46">
        <v>67.550000000000011</v>
      </c>
      <c r="D46">
        <v>65.430000000000007</v>
      </c>
    </row>
    <row r="47" spans="1:4" x14ac:dyDescent="0.25">
      <c r="A47" s="1">
        <v>47484</v>
      </c>
      <c r="B47">
        <v>61.79</v>
      </c>
      <c r="C47">
        <v>67.349999999999994</v>
      </c>
      <c r="D47">
        <v>65.239999999999995</v>
      </c>
    </row>
    <row r="48" spans="1:4" x14ac:dyDescent="0.25">
      <c r="A48" s="1">
        <v>47515</v>
      </c>
      <c r="B48">
        <v>61.82</v>
      </c>
      <c r="C48">
        <v>67.180000000000007</v>
      </c>
      <c r="D48">
        <v>65.069999999999993</v>
      </c>
    </row>
    <row r="49" spans="1:4" x14ac:dyDescent="0.25">
      <c r="A49" s="1">
        <v>47543</v>
      </c>
      <c r="B49">
        <v>61.82</v>
      </c>
      <c r="C49">
        <v>67.010000000000005</v>
      </c>
      <c r="D49">
        <v>64.900000000000006</v>
      </c>
    </row>
    <row r="50" spans="1:4" x14ac:dyDescent="0.25">
      <c r="A50" s="1">
        <v>47574</v>
      </c>
      <c r="B50">
        <v>61.83</v>
      </c>
      <c r="C50">
        <v>66.84</v>
      </c>
      <c r="D50">
        <v>64.69</v>
      </c>
    </row>
    <row r="51" spans="1:4" x14ac:dyDescent="0.25">
      <c r="A51" s="1">
        <v>47604</v>
      </c>
      <c r="B51">
        <v>61.85</v>
      </c>
      <c r="C51">
        <v>66.67</v>
      </c>
      <c r="D51">
        <v>64.53</v>
      </c>
    </row>
    <row r="52" spans="1:4" x14ac:dyDescent="0.25">
      <c r="A52" s="1">
        <v>47635</v>
      </c>
      <c r="B52">
        <v>61.88</v>
      </c>
      <c r="C52">
        <v>66.510000000000005</v>
      </c>
      <c r="D52">
        <v>64.33</v>
      </c>
    </row>
    <row r="53" spans="1:4" x14ac:dyDescent="0.25">
      <c r="A53" s="1">
        <v>47665</v>
      </c>
      <c r="B53">
        <v>61.87</v>
      </c>
      <c r="C53">
        <v>66.31</v>
      </c>
      <c r="D53">
        <v>64.180000000000007</v>
      </c>
    </row>
    <row r="54" spans="1:4" x14ac:dyDescent="0.25">
      <c r="A54" s="1">
        <v>47696</v>
      </c>
      <c r="B54">
        <v>61.87</v>
      </c>
      <c r="C54">
        <v>66.17</v>
      </c>
      <c r="D54">
        <v>64.010000000000005</v>
      </c>
    </row>
    <row r="55" spans="1:4" x14ac:dyDescent="0.25">
      <c r="A55" s="1">
        <v>47727</v>
      </c>
      <c r="B55">
        <v>61.87</v>
      </c>
      <c r="C55">
        <v>66.010000000000005</v>
      </c>
      <c r="D55">
        <v>63.84</v>
      </c>
    </row>
    <row r="56" spans="1:4" x14ac:dyDescent="0.25">
      <c r="A56" s="1">
        <v>47757</v>
      </c>
      <c r="B56">
        <v>61.88</v>
      </c>
      <c r="C56">
        <v>65.86</v>
      </c>
      <c r="D56">
        <v>63.7</v>
      </c>
    </row>
    <row r="57" spans="1:4" x14ac:dyDescent="0.25">
      <c r="A57" s="1">
        <v>47788</v>
      </c>
      <c r="B57">
        <v>61.88</v>
      </c>
      <c r="C57">
        <v>65.69</v>
      </c>
      <c r="D57">
        <v>63.51</v>
      </c>
    </row>
    <row r="58" spans="1:4" x14ac:dyDescent="0.25">
      <c r="A58" s="1">
        <v>47818</v>
      </c>
      <c r="B58">
        <v>61.91</v>
      </c>
      <c r="C58">
        <v>65.52</v>
      </c>
      <c r="D58">
        <v>63.26</v>
      </c>
    </row>
    <row r="59" spans="1:4" x14ac:dyDescent="0.25">
      <c r="A59" s="1">
        <v>47849</v>
      </c>
      <c r="B59">
        <v>61.88</v>
      </c>
      <c r="C59">
        <v>65.3</v>
      </c>
      <c r="D59">
        <v>63.08</v>
      </c>
    </row>
    <row r="60" spans="1:4" x14ac:dyDescent="0.25">
      <c r="A60" s="1">
        <v>47880</v>
      </c>
      <c r="B60">
        <v>61.86</v>
      </c>
      <c r="C60">
        <v>65.14</v>
      </c>
      <c r="D60">
        <v>62.9</v>
      </c>
    </row>
    <row r="61" spans="1:4" x14ac:dyDescent="0.25">
      <c r="A61" s="1">
        <v>47908</v>
      </c>
      <c r="B61">
        <v>61.85</v>
      </c>
      <c r="C61">
        <v>64.989999999999995</v>
      </c>
      <c r="D61">
        <v>62.72</v>
      </c>
    </row>
    <row r="62" spans="1:4" x14ac:dyDescent="0.25">
      <c r="A62" s="1">
        <v>47939</v>
      </c>
      <c r="B62">
        <v>61.85</v>
      </c>
      <c r="C62">
        <v>64.87</v>
      </c>
      <c r="D62">
        <v>62.55</v>
      </c>
    </row>
    <row r="63" spans="1:4" x14ac:dyDescent="0.25">
      <c r="A63" s="1">
        <v>47969</v>
      </c>
      <c r="B63">
        <v>61.85</v>
      </c>
      <c r="C63">
        <v>64.69</v>
      </c>
      <c r="D63">
        <v>62.38</v>
      </c>
    </row>
    <row r="64" spans="1:4" x14ac:dyDescent="0.25">
      <c r="A64" s="1">
        <v>48000</v>
      </c>
      <c r="B64">
        <v>61.88</v>
      </c>
      <c r="C64">
        <v>64.569999999999993</v>
      </c>
      <c r="D64">
        <v>62.19</v>
      </c>
    </row>
    <row r="65" spans="1:4" x14ac:dyDescent="0.25">
      <c r="A65" s="1">
        <v>48030</v>
      </c>
      <c r="B65">
        <v>61.84</v>
      </c>
      <c r="C65">
        <v>64.400000000000006</v>
      </c>
      <c r="D65">
        <v>62.02</v>
      </c>
    </row>
    <row r="66" spans="1:4" x14ac:dyDescent="0.25">
      <c r="A66" s="1">
        <v>48061</v>
      </c>
      <c r="B66">
        <v>61.83</v>
      </c>
      <c r="C66">
        <v>64.23</v>
      </c>
      <c r="D66">
        <v>61.88</v>
      </c>
    </row>
    <row r="67" spans="1:4" x14ac:dyDescent="0.25">
      <c r="A67" s="1">
        <v>48092</v>
      </c>
      <c r="B67">
        <v>61.85</v>
      </c>
      <c r="C67">
        <v>64.12</v>
      </c>
      <c r="D67">
        <v>61.67</v>
      </c>
    </row>
    <row r="68" spans="1:4" x14ac:dyDescent="0.25">
      <c r="A68" s="1">
        <v>48122</v>
      </c>
      <c r="B68">
        <v>61.82</v>
      </c>
      <c r="C68">
        <v>63.94</v>
      </c>
      <c r="D68">
        <v>61.51</v>
      </c>
    </row>
    <row r="69" spans="1:4" x14ac:dyDescent="0.25">
      <c r="A69" s="1">
        <v>48153</v>
      </c>
      <c r="B69">
        <v>61.81</v>
      </c>
      <c r="C69">
        <v>63.77</v>
      </c>
      <c r="D69">
        <v>61.32</v>
      </c>
    </row>
    <row r="70" spans="1:4" x14ac:dyDescent="0.25">
      <c r="A70" s="1">
        <v>48183</v>
      </c>
      <c r="B70">
        <v>61.79</v>
      </c>
      <c r="C70">
        <v>63.599999999999994</v>
      </c>
      <c r="D70">
        <v>61.11</v>
      </c>
    </row>
    <row r="71" spans="1:4" x14ac:dyDescent="0.25">
      <c r="A71" s="1">
        <v>48214</v>
      </c>
      <c r="B71">
        <v>61.71</v>
      </c>
      <c r="C71">
        <v>63.4</v>
      </c>
      <c r="D71">
        <v>60.93</v>
      </c>
    </row>
    <row r="72" spans="1:4" x14ac:dyDescent="0.25">
      <c r="A72" s="1">
        <v>48245</v>
      </c>
      <c r="B72">
        <v>61.68</v>
      </c>
      <c r="C72">
        <v>63.26</v>
      </c>
      <c r="D72">
        <v>60.75</v>
      </c>
    </row>
    <row r="73" spans="1:4" x14ac:dyDescent="0.25">
      <c r="A73" s="1">
        <v>48274</v>
      </c>
      <c r="B73">
        <v>61.64</v>
      </c>
      <c r="C73">
        <v>63.1</v>
      </c>
      <c r="D73">
        <v>60.6</v>
      </c>
    </row>
    <row r="74" spans="1:4" x14ac:dyDescent="0.25">
      <c r="A74" s="1">
        <v>48305</v>
      </c>
      <c r="B74">
        <v>61.61</v>
      </c>
      <c r="C74">
        <v>62.94</v>
      </c>
      <c r="D74">
        <v>60.45</v>
      </c>
    </row>
    <row r="75" spans="1:4" x14ac:dyDescent="0.25">
      <c r="A75" s="1">
        <v>48335</v>
      </c>
      <c r="B75">
        <v>61.62</v>
      </c>
      <c r="C75">
        <v>62.84</v>
      </c>
      <c r="D75">
        <v>60.27</v>
      </c>
    </row>
    <row r="76" spans="1:4" x14ac:dyDescent="0.25">
      <c r="A76" s="1">
        <v>48366</v>
      </c>
      <c r="B76">
        <v>61.61</v>
      </c>
      <c r="C76">
        <v>62.7</v>
      </c>
      <c r="D76">
        <v>60.09</v>
      </c>
    </row>
    <row r="77" spans="1:4" x14ac:dyDescent="0.25">
      <c r="A77" s="1">
        <v>48396</v>
      </c>
      <c r="B77">
        <v>61.55</v>
      </c>
      <c r="C77">
        <v>62.53</v>
      </c>
      <c r="D77">
        <v>59.92</v>
      </c>
    </row>
    <row r="78" spans="1:4" x14ac:dyDescent="0.25">
      <c r="A78" s="1">
        <v>48427</v>
      </c>
      <c r="B78">
        <v>61.53</v>
      </c>
      <c r="C78">
        <v>62.37</v>
      </c>
      <c r="D78">
        <v>59.74</v>
      </c>
    </row>
    <row r="79" spans="1:4" x14ac:dyDescent="0.25">
      <c r="A79" s="1">
        <v>48458</v>
      </c>
      <c r="B79">
        <v>61.48</v>
      </c>
      <c r="C79">
        <v>62.23</v>
      </c>
      <c r="D79">
        <v>59.55</v>
      </c>
    </row>
    <row r="80" spans="1:4" x14ac:dyDescent="0.25">
      <c r="A80" s="1">
        <v>48488</v>
      </c>
      <c r="B80">
        <v>61.43</v>
      </c>
      <c r="C80">
        <v>62.06</v>
      </c>
      <c r="D80">
        <v>59.41</v>
      </c>
    </row>
    <row r="81" spans="1:4" x14ac:dyDescent="0.25">
      <c r="A81" s="1">
        <v>48519</v>
      </c>
      <c r="B81">
        <v>61.41</v>
      </c>
      <c r="C81">
        <v>61.92</v>
      </c>
      <c r="D81">
        <v>59.25</v>
      </c>
    </row>
    <row r="82" spans="1:4" x14ac:dyDescent="0.25">
      <c r="A82" s="1">
        <v>48549</v>
      </c>
      <c r="B82">
        <v>61.39</v>
      </c>
      <c r="C82">
        <v>61.77</v>
      </c>
      <c r="D82">
        <v>59.07</v>
      </c>
    </row>
    <row r="83" spans="1:4" x14ac:dyDescent="0.25">
      <c r="A83" s="1">
        <v>48580</v>
      </c>
      <c r="B83">
        <v>61.32</v>
      </c>
      <c r="C83">
        <v>61.61</v>
      </c>
      <c r="D83">
        <v>58.94</v>
      </c>
    </row>
    <row r="84" spans="1:4" x14ac:dyDescent="0.25">
      <c r="A84" s="1">
        <v>48611</v>
      </c>
      <c r="B84">
        <v>61.3</v>
      </c>
      <c r="C84">
        <v>61.52</v>
      </c>
      <c r="D84">
        <v>58.8</v>
      </c>
    </row>
    <row r="85" spans="1:4" x14ac:dyDescent="0.25">
      <c r="A85" s="1">
        <v>48639</v>
      </c>
      <c r="B85">
        <v>61.27</v>
      </c>
      <c r="C85">
        <v>61.4</v>
      </c>
      <c r="D85">
        <v>58.65</v>
      </c>
    </row>
    <row r="86" spans="1:4" x14ac:dyDescent="0.25">
      <c r="A86" s="1">
        <v>48670</v>
      </c>
      <c r="B86">
        <v>61.22</v>
      </c>
      <c r="C86">
        <v>61.26</v>
      </c>
      <c r="D86">
        <v>58.48</v>
      </c>
    </row>
    <row r="87" spans="1:4" x14ac:dyDescent="0.25">
      <c r="A87" s="1">
        <v>48700</v>
      </c>
      <c r="B87">
        <v>61.17</v>
      </c>
      <c r="C87">
        <v>61.12</v>
      </c>
      <c r="D87">
        <v>58.3</v>
      </c>
    </row>
    <row r="88" spans="1:4" x14ac:dyDescent="0.25">
      <c r="A88" s="1">
        <v>48731</v>
      </c>
      <c r="B88">
        <v>61.09</v>
      </c>
      <c r="C88">
        <v>60.95</v>
      </c>
      <c r="D88">
        <v>58.13</v>
      </c>
    </row>
    <row r="89" spans="1:4" x14ac:dyDescent="0.25">
      <c r="A89" s="1">
        <v>48761</v>
      </c>
      <c r="B89">
        <v>61.02</v>
      </c>
      <c r="C89">
        <v>60.79</v>
      </c>
      <c r="D89">
        <v>57.86</v>
      </c>
    </row>
    <row r="90" spans="1:4" x14ac:dyDescent="0.25">
      <c r="A90" s="1">
        <v>48792</v>
      </c>
      <c r="B90">
        <v>60.93</v>
      </c>
      <c r="C90">
        <v>60.57</v>
      </c>
      <c r="D90">
        <v>57.7</v>
      </c>
    </row>
    <row r="91" spans="1:4" x14ac:dyDescent="0.25">
      <c r="A91" s="1">
        <v>48823</v>
      </c>
      <c r="B91">
        <v>60.85</v>
      </c>
      <c r="C91">
        <v>60.42</v>
      </c>
      <c r="D91">
        <v>57.55</v>
      </c>
    </row>
    <row r="92" spans="1:4" x14ac:dyDescent="0.25">
      <c r="A92" s="1">
        <v>48853</v>
      </c>
      <c r="B92">
        <v>60.82</v>
      </c>
      <c r="C92">
        <v>60.27</v>
      </c>
      <c r="D92">
        <v>57.39</v>
      </c>
    </row>
    <row r="93" spans="1:4" x14ac:dyDescent="0.25">
      <c r="A93" s="1">
        <v>48884</v>
      </c>
      <c r="B93">
        <v>60.82</v>
      </c>
      <c r="C93">
        <v>60.17</v>
      </c>
      <c r="D93">
        <v>57.32</v>
      </c>
    </row>
    <row r="94" spans="1:4" x14ac:dyDescent="0.25">
      <c r="A94" s="1">
        <v>48914</v>
      </c>
      <c r="B94">
        <v>60.78</v>
      </c>
      <c r="C94">
        <v>60.03</v>
      </c>
      <c r="D94">
        <v>57.13</v>
      </c>
    </row>
    <row r="95" spans="1:4" x14ac:dyDescent="0.25">
      <c r="A95" s="1">
        <v>48945</v>
      </c>
      <c r="B95">
        <v>60.66</v>
      </c>
      <c r="C95">
        <v>59.87</v>
      </c>
      <c r="D95">
        <v>56.96</v>
      </c>
    </row>
    <row r="96" spans="1:4" x14ac:dyDescent="0.25">
      <c r="A96" s="1">
        <v>48976</v>
      </c>
      <c r="B96">
        <v>60.55</v>
      </c>
      <c r="C96">
        <v>59.72</v>
      </c>
      <c r="D96">
        <v>56.77</v>
      </c>
    </row>
    <row r="97" spans="1:4" x14ac:dyDescent="0.25">
      <c r="A97" s="1">
        <v>49004</v>
      </c>
      <c r="B97">
        <v>60.44</v>
      </c>
      <c r="C97">
        <v>59.56</v>
      </c>
      <c r="D97">
        <v>56.62</v>
      </c>
    </row>
    <row r="98" spans="1:4" x14ac:dyDescent="0.25">
      <c r="A98" s="1">
        <v>49035</v>
      </c>
      <c r="B98">
        <v>60.36</v>
      </c>
      <c r="C98">
        <v>59.45</v>
      </c>
      <c r="D98">
        <v>56.48</v>
      </c>
    </row>
    <row r="99" spans="1:4" x14ac:dyDescent="0.25">
      <c r="A99" s="1">
        <v>49065</v>
      </c>
      <c r="B99">
        <v>60.28</v>
      </c>
      <c r="C99">
        <v>59.33</v>
      </c>
      <c r="D99">
        <v>56.35</v>
      </c>
    </row>
    <row r="100" spans="1:4" x14ac:dyDescent="0.25">
      <c r="A100" s="1">
        <v>49096</v>
      </c>
      <c r="B100">
        <v>60.24</v>
      </c>
      <c r="C100">
        <v>59.26</v>
      </c>
      <c r="D100">
        <v>56.23</v>
      </c>
    </row>
    <row r="101" spans="1:4" x14ac:dyDescent="0.25">
      <c r="A101" s="1">
        <v>49126</v>
      </c>
      <c r="B101">
        <v>60.16</v>
      </c>
      <c r="C101">
        <v>59.12</v>
      </c>
      <c r="D101">
        <v>56.08</v>
      </c>
    </row>
    <row r="102" spans="1:4" x14ac:dyDescent="0.25">
      <c r="A102" s="1">
        <v>49157</v>
      </c>
      <c r="B102">
        <v>60.08</v>
      </c>
      <c r="C102">
        <v>58.98</v>
      </c>
      <c r="D102">
        <v>55.92</v>
      </c>
    </row>
    <row r="103" spans="1:4" x14ac:dyDescent="0.25">
      <c r="A103" s="1">
        <v>49188</v>
      </c>
      <c r="B103">
        <v>60</v>
      </c>
      <c r="C103">
        <v>58.84</v>
      </c>
      <c r="D103">
        <v>55.75</v>
      </c>
    </row>
    <row r="104" spans="1:4" x14ac:dyDescent="0.25">
      <c r="A104" s="1">
        <v>49218</v>
      </c>
      <c r="B104">
        <v>59.9</v>
      </c>
      <c r="C104">
        <v>58.7</v>
      </c>
      <c r="D104">
        <v>55.59</v>
      </c>
    </row>
    <row r="105" spans="1:4" x14ac:dyDescent="0.25">
      <c r="A105" s="1">
        <v>49249</v>
      </c>
      <c r="B105">
        <v>59.8</v>
      </c>
      <c r="C105">
        <v>58.54</v>
      </c>
      <c r="D105">
        <v>55.42</v>
      </c>
    </row>
    <row r="106" spans="1:4" x14ac:dyDescent="0.25">
      <c r="A106" s="1">
        <v>49279</v>
      </c>
      <c r="B106">
        <v>59.72</v>
      </c>
      <c r="C106">
        <v>58.4</v>
      </c>
      <c r="D106">
        <v>55.25</v>
      </c>
    </row>
    <row r="107" spans="1:4" x14ac:dyDescent="0.25">
      <c r="A107" s="1">
        <v>49310</v>
      </c>
      <c r="B107">
        <v>59.6</v>
      </c>
      <c r="C107">
        <v>58.25</v>
      </c>
      <c r="D107">
        <v>55.09</v>
      </c>
    </row>
    <row r="108" spans="1:4" x14ac:dyDescent="0.25">
      <c r="A108" s="1">
        <v>49341</v>
      </c>
      <c r="B108">
        <v>59.5</v>
      </c>
      <c r="C108">
        <v>58.12</v>
      </c>
      <c r="D108">
        <v>54.93</v>
      </c>
    </row>
    <row r="109" spans="1:4" x14ac:dyDescent="0.25">
      <c r="A109" s="1">
        <v>49369</v>
      </c>
      <c r="B109">
        <v>59.4</v>
      </c>
      <c r="C109">
        <v>57.99</v>
      </c>
      <c r="D109">
        <v>54.83</v>
      </c>
    </row>
    <row r="110" spans="1:4" x14ac:dyDescent="0.25">
      <c r="A110" s="1">
        <v>49400</v>
      </c>
      <c r="B110">
        <v>59.35</v>
      </c>
      <c r="C110">
        <v>57.92</v>
      </c>
      <c r="D110">
        <v>54.66</v>
      </c>
    </row>
    <row r="111" spans="1:4" x14ac:dyDescent="0.25">
      <c r="A111" s="1">
        <v>49430</v>
      </c>
      <c r="B111">
        <v>59.25</v>
      </c>
      <c r="C111">
        <v>57.79</v>
      </c>
      <c r="D111">
        <v>54.45</v>
      </c>
    </row>
    <row r="112" spans="1:4" x14ac:dyDescent="0.25">
      <c r="A112" s="1">
        <v>49461</v>
      </c>
      <c r="B112">
        <v>59.12</v>
      </c>
      <c r="C112">
        <v>57.64</v>
      </c>
      <c r="D112">
        <v>54.29</v>
      </c>
    </row>
    <row r="113" spans="1:4" x14ac:dyDescent="0.25">
      <c r="A113" s="1">
        <v>49491</v>
      </c>
      <c r="B113">
        <v>58.98</v>
      </c>
      <c r="C113">
        <v>57.47</v>
      </c>
      <c r="D113">
        <v>54.11</v>
      </c>
    </row>
    <row r="114" spans="1:4" x14ac:dyDescent="0.25">
      <c r="A114" s="1">
        <v>49522</v>
      </c>
      <c r="B114">
        <v>58.85</v>
      </c>
      <c r="C114">
        <v>57.32</v>
      </c>
      <c r="D114">
        <v>53.96</v>
      </c>
    </row>
    <row r="115" spans="1:4" x14ac:dyDescent="0.25">
      <c r="A115" s="1">
        <v>49553</v>
      </c>
      <c r="B115">
        <v>58.75</v>
      </c>
      <c r="C115">
        <v>57.19</v>
      </c>
      <c r="D115">
        <v>53.82</v>
      </c>
    </row>
    <row r="116" spans="1:4" x14ac:dyDescent="0.25">
      <c r="A116" s="1">
        <v>49583</v>
      </c>
      <c r="B116">
        <v>58.67</v>
      </c>
      <c r="C116">
        <v>57.08</v>
      </c>
      <c r="D116">
        <v>53.71</v>
      </c>
    </row>
    <row r="117" spans="1:4" x14ac:dyDescent="0.25">
      <c r="A117" s="1">
        <v>49614</v>
      </c>
      <c r="B117">
        <v>58.61</v>
      </c>
      <c r="C117">
        <v>56.99</v>
      </c>
      <c r="D117">
        <v>53.52</v>
      </c>
    </row>
    <row r="118" spans="1:4" x14ac:dyDescent="0.25">
      <c r="A118" s="1">
        <v>49644</v>
      </c>
      <c r="B118">
        <v>58.5</v>
      </c>
      <c r="C118">
        <v>56.87</v>
      </c>
      <c r="D118">
        <v>53.38</v>
      </c>
    </row>
    <row r="119" spans="1:4" x14ac:dyDescent="0.25">
      <c r="A119" s="1">
        <v>49675</v>
      </c>
      <c r="B119">
        <v>58.39</v>
      </c>
      <c r="C119">
        <v>56.74</v>
      </c>
      <c r="D119">
        <v>53.21</v>
      </c>
    </row>
    <row r="120" spans="1:4" x14ac:dyDescent="0.25">
      <c r="A120" s="1">
        <v>49706</v>
      </c>
      <c r="B120">
        <v>58.26</v>
      </c>
      <c r="C120">
        <v>56.6</v>
      </c>
      <c r="D120">
        <v>53.05</v>
      </c>
    </row>
    <row r="121" spans="1:4" x14ac:dyDescent="0.25">
      <c r="A121" s="1">
        <v>49735</v>
      </c>
      <c r="B121">
        <v>58.15</v>
      </c>
      <c r="C121">
        <v>56.48</v>
      </c>
      <c r="D121">
        <v>52.94</v>
      </c>
    </row>
    <row r="122" spans="1:4" x14ac:dyDescent="0.25">
      <c r="A122" s="1">
        <v>49766</v>
      </c>
      <c r="B122">
        <v>58.08</v>
      </c>
      <c r="C122">
        <v>56.41</v>
      </c>
      <c r="D122">
        <v>52.79</v>
      </c>
    </row>
    <row r="123" spans="1:4" x14ac:dyDescent="0.25">
      <c r="A123" s="1">
        <v>49796</v>
      </c>
      <c r="B123">
        <v>57.98</v>
      </c>
      <c r="C123">
        <v>56.3</v>
      </c>
      <c r="D123">
        <v>52.59</v>
      </c>
    </row>
    <row r="124" spans="1:4" x14ac:dyDescent="0.25">
      <c r="A124" s="1">
        <v>49827</v>
      </c>
      <c r="B124">
        <v>57.85</v>
      </c>
      <c r="C124">
        <v>56.16</v>
      </c>
      <c r="D124">
        <v>52.4</v>
      </c>
    </row>
    <row r="125" spans="1:4" x14ac:dyDescent="0.25">
      <c r="A125" s="1">
        <v>49857</v>
      </c>
      <c r="B125">
        <v>57.68</v>
      </c>
      <c r="C125">
        <v>55.97</v>
      </c>
      <c r="D125">
        <v>52.22</v>
      </c>
    </row>
    <row r="126" spans="1:4" x14ac:dyDescent="0.25">
      <c r="A126" s="1">
        <v>49888</v>
      </c>
      <c r="B126">
        <v>57.54</v>
      </c>
      <c r="C126">
        <v>55.82</v>
      </c>
      <c r="D126">
        <v>52.08</v>
      </c>
    </row>
    <row r="127" spans="1:4" x14ac:dyDescent="0.25">
      <c r="A127" s="1">
        <v>49919</v>
      </c>
      <c r="B127">
        <v>57.44</v>
      </c>
      <c r="C127">
        <v>55.71</v>
      </c>
      <c r="D127">
        <v>51.95</v>
      </c>
    </row>
    <row r="128" spans="1:4" x14ac:dyDescent="0.25">
      <c r="A128" s="1">
        <v>49949</v>
      </c>
      <c r="B128">
        <v>57.33</v>
      </c>
      <c r="C128">
        <v>55.59</v>
      </c>
      <c r="D128">
        <v>51.86</v>
      </c>
    </row>
    <row r="129" spans="1:4" x14ac:dyDescent="0.25">
      <c r="A129" s="1">
        <v>49980</v>
      </c>
      <c r="B129">
        <v>57.28</v>
      </c>
      <c r="C129">
        <v>55.53</v>
      </c>
      <c r="D129">
        <v>51.62</v>
      </c>
    </row>
    <row r="130" spans="1:4" x14ac:dyDescent="0.25">
      <c r="A130" s="1">
        <v>50010</v>
      </c>
      <c r="B130">
        <v>57.19</v>
      </c>
      <c r="C130">
        <v>55.44</v>
      </c>
      <c r="D130">
        <v>51.55</v>
      </c>
    </row>
    <row r="131" spans="1:4" x14ac:dyDescent="0.25">
      <c r="A131" s="1">
        <v>50041</v>
      </c>
      <c r="B131">
        <v>57.12</v>
      </c>
      <c r="C131">
        <v>55.37</v>
      </c>
      <c r="D131">
        <v>51.49</v>
      </c>
    </row>
    <row r="132" spans="1:4" x14ac:dyDescent="0.25">
      <c r="A132" s="1">
        <v>50072</v>
      </c>
      <c r="B132">
        <v>57.06</v>
      </c>
      <c r="C132">
        <v>55.31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4A56-04EC-4E23-B21C-04D0F0953D83}">
  <dimension ref="A1:D85"/>
  <sheetViews>
    <sheetView workbookViewId="0"/>
  </sheetViews>
  <sheetFormatPr defaultRowHeight="15" x14ac:dyDescent="0.25"/>
  <cols>
    <col min="1" max="1" width="14.28515625" bestFit="1" customWidth="1"/>
    <col min="2" max="3" width="10.85546875" bestFit="1" customWidth="1"/>
    <col min="4" max="4" width="10.5703125" bestFit="1" customWidth="1"/>
  </cols>
  <sheetData>
    <row r="1" spans="1:4" x14ac:dyDescent="0.25">
      <c r="A1" t="s">
        <v>18</v>
      </c>
      <c r="B1" t="s">
        <v>24</v>
      </c>
      <c r="C1" t="s">
        <v>25</v>
      </c>
      <c r="D1" t="s">
        <v>26</v>
      </c>
    </row>
    <row r="2" spans="1:4" x14ac:dyDescent="0.25">
      <c r="A2" s="1">
        <v>46113</v>
      </c>
      <c r="B2">
        <v>72.48</v>
      </c>
      <c r="C2">
        <v>108.65</v>
      </c>
      <c r="D2">
        <v>95.2</v>
      </c>
    </row>
    <row r="3" spans="1:4" x14ac:dyDescent="0.25">
      <c r="A3" s="1">
        <v>46143</v>
      </c>
      <c r="B3">
        <v>72.87</v>
      </c>
      <c r="C3">
        <v>103.78</v>
      </c>
      <c r="D3">
        <v>90.28</v>
      </c>
    </row>
    <row r="4" spans="1:4" x14ac:dyDescent="0.25">
      <c r="A4" s="1">
        <v>46174</v>
      </c>
      <c r="B4">
        <v>72.290000000000006</v>
      </c>
      <c r="C4">
        <v>98.46</v>
      </c>
      <c r="D4">
        <v>86.82</v>
      </c>
    </row>
    <row r="5" spans="1:4" x14ac:dyDescent="0.25">
      <c r="A5" s="1">
        <v>46204</v>
      </c>
      <c r="B5">
        <v>71.61</v>
      </c>
      <c r="C5">
        <v>94.05</v>
      </c>
      <c r="D5">
        <v>84.64</v>
      </c>
    </row>
    <row r="6" spans="1:4" x14ac:dyDescent="0.25">
      <c r="A6" s="1">
        <v>46235</v>
      </c>
      <c r="B6">
        <v>70.88</v>
      </c>
      <c r="C6">
        <v>90.89</v>
      </c>
      <c r="D6">
        <v>83.13</v>
      </c>
    </row>
    <row r="7" spans="1:4" x14ac:dyDescent="0.25">
      <c r="A7" s="1">
        <v>46266</v>
      </c>
      <c r="B7">
        <v>70.2</v>
      </c>
      <c r="C7">
        <v>88.39</v>
      </c>
      <c r="D7">
        <v>82</v>
      </c>
    </row>
    <row r="8" spans="1:4" x14ac:dyDescent="0.25">
      <c r="A8" s="1">
        <v>46296</v>
      </c>
      <c r="B8">
        <v>69.61</v>
      </c>
      <c r="C8">
        <v>86.57</v>
      </c>
      <c r="D8">
        <v>81</v>
      </c>
    </row>
    <row r="9" spans="1:4" x14ac:dyDescent="0.25">
      <c r="A9" s="1">
        <v>46327</v>
      </c>
      <c r="B9">
        <v>69.09</v>
      </c>
      <c r="C9">
        <v>85.18</v>
      </c>
      <c r="D9">
        <v>80.099999999999994</v>
      </c>
    </row>
    <row r="10" spans="1:4" x14ac:dyDescent="0.25">
      <c r="A10" s="1">
        <v>46357</v>
      </c>
      <c r="B10">
        <v>68.64</v>
      </c>
      <c r="C10">
        <v>83.960000000000008</v>
      </c>
      <c r="D10">
        <v>79.33</v>
      </c>
    </row>
    <row r="11" spans="1:4" x14ac:dyDescent="0.25">
      <c r="A11" s="1">
        <v>46388</v>
      </c>
      <c r="B11">
        <v>68.239999999999995</v>
      </c>
      <c r="C11">
        <v>82.92</v>
      </c>
      <c r="D11">
        <v>78.69</v>
      </c>
    </row>
    <row r="12" spans="1:4" x14ac:dyDescent="0.25">
      <c r="A12" s="1">
        <v>46419</v>
      </c>
      <c r="B12">
        <v>67.89</v>
      </c>
      <c r="C12">
        <v>82.07</v>
      </c>
      <c r="D12">
        <v>78.150000000000006</v>
      </c>
    </row>
    <row r="13" spans="1:4" x14ac:dyDescent="0.25">
      <c r="A13" s="1">
        <v>46447</v>
      </c>
      <c r="B13">
        <v>67.599999999999994</v>
      </c>
      <c r="C13">
        <v>81.319999999999993</v>
      </c>
      <c r="D13">
        <v>77.69</v>
      </c>
    </row>
    <row r="14" spans="1:4" x14ac:dyDescent="0.25">
      <c r="A14" s="1">
        <v>46478</v>
      </c>
      <c r="B14">
        <v>67.349999999999994</v>
      </c>
      <c r="C14">
        <v>80.69</v>
      </c>
      <c r="D14">
        <v>77.28</v>
      </c>
    </row>
    <row r="15" spans="1:4" x14ac:dyDescent="0.25">
      <c r="A15" s="1">
        <v>46508</v>
      </c>
      <c r="B15">
        <v>67.150000000000006</v>
      </c>
      <c r="C15">
        <v>80.13</v>
      </c>
      <c r="D15">
        <v>76.89</v>
      </c>
    </row>
    <row r="16" spans="1:4" x14ac:dyDescent="0.25">
      <c r="A16" s="1">
        <v>46539</v>
      </c>
      <c r="B16">
        <v>66.97</v>
      </c>
      <c r="C16">
        <v>79.599999999999994</v>
      </c>
      <c r="D16">
        <v>76.55</v>
      </c>
    </row>
    <row r="17" spans="1:4" x14ac:dyDescent="0.25">
      <c r="A17" s="1">
        <v>46569</v>
      </c>
      <c r="B17">
        <v>66.78</v>
      </c>
      <c r="C17">
        <v>79.17</v>
      </c>
      <c r="D17">
        <v>76.27</v>
      </c>
    </row>
    <row r="18" spans="1:4" x14ac:dyDescent="0.25">
      <c r="A18" s="1">
        <v>46600</v>
      </c>
      <c r="B18">
        <v>66.62</v>
      </c>
      <c r="C18">
        <v>78.84</v>
      </c>
      <c r="D18">
        <v>76.010000000000005</v>
      </c>
    </row>
    <row r="19" spans="1:4" x14ac:dyDescent="0.25">
      <c r="A19" s="1">
        <v>46631</v>
      </c>
      <c r="B19">
        <v>66.5</v>
      </c>
      <c r="C19">
        <v>78.53</v>
      </c>
      <c r="D19">
        <v>75.760000000000005</v>
      </c>
    </row>
    <row r="20" spans="1:4" x14ac:dyDescent="0.25">
      <c r="A20" s="1">
        <v>46661</v>
      </c>
      <c r="B20">
        <v>66.38</v>
      </c>
      <c r="C20">
        <v>78.260000000000005</v>
      </c>
      <c r="D20">
        <v>75.52</v>
      </c>
    </row>
    <row r="21" spans="1:4" x14ac:dyDescent="0.25">
      <c r="A21" s="1">
        <v>46692</v>
      </c>
      <c r="B21">
        <v>66.3</v>
      </c>
      <c r="C21">
        <v>77.989999999999995</v>
      </c>
      <c r="D21">
        <v>75.239999999999995</v>
      </c>
    </row>
    <row r="22" spans="1:4" x14ac:dyDescent="0.25">
      <c r="A22" s="1">
        <v>46722</v>
      </c>
      <c r="B22">
        <v>66.22</v>
      </c>
      <c r="C22">
        <v>77.69</v>
      </c>
      <c r="D22">
        <v>74.98</v>
      </c>
    </row>
    <row r="23" spans="1:4" x14ac:dyDescent="0.25">
      <c r="A23" s="1">
        <v>46753</v>
      </c>
      <c r="B23">
        <v>66.12</v>
      </c>
      <c r="C23">
        <v>77.400000000000006</v>
      </c>
      <c r="D23">
        <v>74.790000000000006</v>
      </c>
    </row>
    <row r="24" spans="1:4" x14ac:dyDescent="0.25">
      <c r="A24" s="1">
        <v>46784</v>
      </c>
      <c r="B24">
        <v>66.040000000000006</v>
      </c>
      <c r="C24">
        <v>77.180000000000007</v>
      </c>
      <c r="D24">
        <v>74.63</v>
      </c>
    </row>
    <row r="25" spans="1:4" x14ac:dyDescent="0.25">
      <c r="A25" s="1">
        <v>46813</v>
      </c>
      <c r="B25">
        <v>66.010000000000005</v>
      </c>
      <c r="C25">
        <v>76.97</v>
      </c>
      <c r="D25">
        <v>74.489999999999995</v>
      </c>
    </row>
    <row r="26" spans="1:4" x14ac:dyDescent="0.25">
      <c r="A26" s="1">
        <v>46844</v>
      </c>
      <c r="B26">
        <v>65.989999999999995</v>
      </c>
      <c r="C26">
        <v>76.8</v>
      </c>
      <c r="D26">
        <v>74.319999999999993</v>
      </c>
    </row>
    <row r="27" spans="1:4" x14ac:dyDescent="0.25">
      <c r="A27" s="1">
        <v>46874</v>
      </c>
      <c r="B27">
        <v>65.989999999999995</v>
      </c>
      <c r="C27">
        <v>76.62</v>
      </c>
      <c r="D27">
        <v>74.14</v>
      </c>
    </row>
    <row r="28" spans="1:4" x14ac:dyDescent="0.25">
      <c r="A28" s="1">
        <v>46905</v>
      </c>
      <c r="B28">
        <v>65.98</v>
      </c>
      <c r="C28">
        <v>76.42</v>
      </c>
      <c r="D28">
        <v>73.95</v>
      </c>
    </row>
    <row r="29" spans="1:4" x14ac:dyDescent="0.25">
      <c r="A29" s="1">
        <v>46935</v>
      </c>
      <c r="B29">
        <v>65.95</v>
      </c>
      <c r="C29">
        <v>76.209999999999994</v>
      </c>
      <c r="D29">
        <v>73.75</v>
      </c>
    </row>
    <row r="30" spans="1:4" x14ac:dyDescent="0.25">
      <c r="A30" s="1">
        <v>46966</v>
      </c>
      <c r="B30">
        <v>65.92</v>
      </c>
      <c r="C30">
        <v>76.010000000000005</v>
      </c>
      <c r="D30">
        <v>73.56</v>
      </c>
    </row>
    <row r="31" spans="1:4" x14ac:dyDescent="0.25">
      <c r="A31" s="1">
        <v>46997</v>
      </c>
      <c r="B31">
        <v>65.91</v>
      </c>
      <c r="C31">
        <v>75.81</v>
      </c>
      <c r="D31">
        <v>73.39</v>
      </c>
    </row>
    <row r="32" spans="1:4" x14ac:dyDescent="0.25">
      <c r="A32" s="1">
        <v>47027</v>
      </c>
      <c r="B32">
        <v>65.91</v>
      </c>
      <c r="C32">
        <v>75.67</v>
      </c>
      <c r="D32">
        <v>73.260000000000005</v>
      </c>
    </row>
    <row r="33" spans="1:4" x14ac:dyDescent="0.25">
      <c r="A33" s="1">
        <v>47058</v>
      </c>
      <c r="B33">
        <v>65.94</v>
      </c>
      <c r="C33">
        <v>75.56</v>
      </c>
      <c r="D33">
        <v>73.099999999999994</v>
      </c>
    </row>
    <row r="34" spans="1:4" x14ac:dyDescent="0.25">
      <c r="A34" s="1">
        <v>47088</v>
      </c>
      <c r="B34">
        <v>65.989999999999995</v>
      </c>
      <c r="C34">
        <v>75.41</v>
      </c>
      <c r="D34">
        <v>72.959999999999994</v>
      </c>
    </row>
    <row r="35" spans="1:4" x14ac:dyDescent="0.25">
      <c r="A35" s="1">
        <v>47119</v>
      </c>
      <c r="B35">
        <v>66.010000000000005</v>
      </c>
      <c r="C35">
        <v>75.28</v>
      </c>
      <c r="D35">
        <v>72.849999999999994</v>
      </c>
    </row>
    <row r="36" spans="1:4" x14ac:dyDescent="0.25">
      <c r="A36" s="1">
        <v>47150</v>
      </c>
      <c r="B36">
        <v>66.040000000000006</v>
      </c>
      <c r="C36">
        <v>75.17</v>
      </c>
      <c r="D36">
        <v>72.760000000000005</v>
      </c>
    </row>
    <row r="37" spans="1:4" x14ac:dyDescent="0.25">
      <c r="A37" s="1">
        <v>47178</v>
      </c>
      <c r="B37">
        <v>66.099999999999994</v>
      </c>
      <c r="C37">
        <v>75.099999999999994</v>
      </c>
      <c r="D37">
        <v>72.61</v>
      </c>
    </row>
    <row r="38" spans="1:4" x14ac:dyDescent="0.25">
      <c r="A38" s="1">
        <v>47209</v>
      </c>
      <c r="B38">
        <v>66.19</v>
      </c>
      <c r="C38">
        <v>75</v>
      </c>
      <c r="D38">
        <v>72.5</v>
      </c>
    </row>
    <row r="39" spans="1:4" x14ac:dyDescent="0.25">
      <c r="A39" s="1">
        <v>47239</v>
      </c>
      <c r="B39">
        <v>66.23</v>
      </c>
      <c r="C39">
        <v>74.900000000000006</v>
      </c>
      <c r="D39">
        <v>72.349999999999994</v>
      </c>
    </row>
    <row r="40" spans="1:4" x14ac:dyDescent="0.25">
      <c r="A40" s="1">
        <v>47270</v>
      </c>
      <c r="B40">
        <v>66.290000000000006</v>
      </c>
      <c r="C40">
        <v>74.78</v>
      </c>
      <c r="D40">
        <v>72.2</v>
      </c>
    </row>
    <row r="41" spans="1:4" x14ac:dyDescent="0.25">
      <c r="A41" s="1">
        <v>47300</v>
      </c>
      <c r="B41">
        <v>66.34</v>
      </c>
      <c r="C41">
        <v>74.64</v>
      </c>
      <c r="D41">
        <v>72.02</v>
      </c>
    </row>
    <row r="42" spans="1:4" x14ac:dyDescent="0.25">
      <c r="A42" s="1">
        <v>47331</v>
      </c>
      <c r="B42">
        <v>66.33</v>
      </c>
      <c r="C42">
        <v>74.48</v>
      </c>
      <c r="D42">
        <v>71.849999999999994</v>
      </c>
    </row>
    <row r="43" spans="1:4" x14ac:dyDescent="0.25">
      <c r="A43" s="1">
        <v>47362</v>
      </c>
      <c r="B43">
        <v>66.349999999999994</v>
      </c>
      <c r="C43">
        <v>74.34</v>
      </c>
      <c r="D43">
        <v>71.67</v>
      </c>
    </row>
    <row r="44" spans="1:4" x14ac:dyDescent="0.25">
      <c r="A44" s="1">
        <v>47392</v>
      </c>
      <c r="B44">
        <v>66.37</v>
      </c>
      <c r="C44">
        <v>74.2</v>
      </c>
      <c r="D44">
        <v>71.569999999999993</v>
      </c>
    </row>
    <row r="45" spans="1:4" x14ac:dyDescent="0.25">
      <c r="A45" s="1">
        <v>47423</v>
      </c>
      <c r="B45">
        <v>66.41</v>
      </c>
      <c r="C45">
        <v>74.13</v>
      </c>
      <c r="D45">
        <v>71.430000000000007</v>
      </c>
    </row>
    <row r="46" spans="1:4" x14ac:dyDescent="0.25">
      <c r="A46" s="1">
        <v>47453</v>
      </c>
      <c r="B46">
        <v>66.48</v>
      </c>
      <c r="C46">
        <v>74.06</v>
      </c>
      <c r="D46">
        <v>71.33</v>
      </c>
    </row>
    <row r="47" spans="1:4" x14ac:dyDescent="0.25">
      <c r="A47" s="1">
        <v>47484</v>
      </c>
      <c r="B47">
        <v>66.55</v>
      </c>
      <c r="C47">
        <v>74</v>
      </c>
      <c r="D47">
        <v>71.260000000000005</v>
      </c>
    </row>
    <row r="48" spans="1:4" x14ac:dyDescent="0.25">
      <c r="A48" s="1">
        <v>47515</v>
      </c>
      <c r="B48">
        <v>66.599999999999994</v>
      </c>
      <c r="C48">
        <v>73.94</v>
      </c>
      <c r="D48">
        <v>71.2</v>
      </c>
    </row>
    <row r="49" spans="1:4" x14ac:dyDescent="0.25">
      <c r="A49" s="1">
        <v>47543</v>
      </c>
      <c r="B49">
        <v>66.680000000000007</v>
      </c>
      <c r="C49">
        <v>73.88</v>
      </c>
      <c r="D49">
        <v>71.12</v>
      </c>
    </row>
    <row r="50" spans="1:4" x14ac:dyDescent="0.25">
      <c r="A50" s="1">
        <v>47574</v>
      </c>
      <c r="B50">
        <v>66.760000000000005</v>
      </c>
      <c r="C50">
        <v>73.819999999999993</v>
      </c>
      <c r="D50">
        <v>71.010000000000005</v>
      </c>
    </row>
    <row r="51" spans="1:4" x14ac:dyDescent="0.25">
      <c r="A51" s="1">
        <v>47604</v>
      </c>
      <c r="B51">
        <v>66.83</v>
      </c>
      <c r="C51">
        <v>73.75</v>
      </c>
      <c r="D51">
        <v>70.900000000000006</v>
      </c>
    </row>
    <row r="52" spans="1:4" x14ac:dyDescent="0.25">
      <c r="A52" s="1">
        <v>47635</v>
      </c>
      <c r="B52">
        <v>66.86</v>
      </c>
      <c r="C52">
        <v>73.66</v>
      </c>
      <c r="D52">
        <v>70.78</v>
      </c>
    </row>
    <row r="53" spans="1:4" x14ac:dyDescent="0.25">
      <c r="A53" s="1">
        <v>47665</v>
      </c>
      <c r="B53">
        <v>66.91</v>
      </c>
      <c r="C53">
        <v>73.56</v>
      </c>
      <c r="D53">
        <v>70.66</v>
      </c>
    </row>
    <row r="54" spans="1:4" x14ac:dyDescent="0.25">
      <c r="A54" s="1">
        <v>47696</v>
      </c>
      <c r="B54">
        <v>66.959999999999994</v>
      </c>
      <c r="C54">
        <v>73.45</v>
      </c>
      <c r="D54">
        <v>70.55</v>
      </c>
    </row>
    <row r="55" spans="1:4" x14ac:dyDescent="0.25">
      <c r="A55" s="1">
        <v>47727</v>
      </c>
      <c r="B55">
        <v>67</v>
      </c>
      <c r="C55">
        <v>73.33</v>
      </c>
      <c r="D55">
        <v>70.38</v>
      </c>
    </row>
    <row r="56" spans="1:4" x14ac:dyDescent="0.25">
      <c r="A56" s="1">
        <v>47757</v>
      </c>
      <c r="B56">
        <v>67.03</v>
      </c>
      <c r="C56">
        <v>73.209999999999994</v>
      </c>
      <c r="D56">
        <v>70.19</v>
      </c>
    </row>
    <row r="57" spans="1:4" x14ac:dyDescent="0.25">
      <c r="A57" s="1">
        <v>47788</v>
      </c>
      <c r="B57">
        <v>67.040000000000006</v>
      </c>
      <c r="C57">
        <v>73.099999999999994</v>
      </c>
      <c r="D57">
        <v>70.06</v>
      </c>
    </row>
    <row r="58" spans="1:4" x14ac:dyDescent="0.25">
      <c r="A58" s="1">
        <v>47818</v>
      </c>
      <c r="B58">
        <v>67.040000000000006</v>
      </c>
      <c r="C58">
        <v>73.02</v>
      </c>
      <c r="D58">
        <v>69.959999999999994</v>
      </c>
    </row>
    <row r="59" spans="1:4" x14ac:dyDescent="0.25">
      <c r="A59" s="1">
        <v>47849</v>
      </c>
      <c r="B59">
        <v>67.06</v>
      </c>
      <c r="C59">
        <v>72.94</v>
      </c>
      <c r="D59">
        <v>69.87</v>
      </c>
    </row>
    <row r="60" spans="1:4" x14ac:dyDescent="0.25">
      <c r="A60" s="1">
        <v>47880</v>
      </c>
      <c r="B60">
        <v>67.09</v>
      </c>
      <c r="C60">
        <v>72.86</v>
      </c>
      <c r="D60">
        <v>69.78</v>
      </c>
    </row>
    <row r="61" spans="1:4" x14ac:dyDescent="0.25">
      <c r="A61" s="1">
        <v>47908</v>
      </c>
      <c r="B61">
        <v>67.12</v>
      </c>
      <c r="C61">
        <v>72.77</v>
      </c>
      <c r="D61">
        <v>69.680000000000007</v>
      </c>
    </row>
    <row r="62" spans="1:4" x14ac:dyDescent="0.25">
      <c r="A62" s="1">
        <v>47939</v>
      </c>
      <c r="B62">
        <v>67.150000000000006</v>
      </c>
      <c r="C62">
        <v>72.69</v>
      </c>
      <c r="D62">
        <v>69.55</v>
      </c>
    </row>
    <row r="63" spans="1:4" x14ac:dyDescent="0.25">
      <c r="A63" s="1">
        <v>47969</v>
      </c>
      <c r="B63">
        <v>67.17</v>
      </c>
      <c r="C63">
        <v>72.599999999999994</v>
      </c>
      <c r="D63">
        <v>69.45</v>
      </c>
    </row>
    <row r="64" spans="1:4" x14ac:dyDescent="0.25">
      <c r="A64" s="1">
        <v>48000</v>
      </c>
      <c r="B64">
        <v>67.19</v>
      </c>
      <c r="C64">
        <v>72.52</v>
      </c>
      <c r="D64">
        <v>69.349999999999994</v>
      </c>
    </row>
    <row r="65" spans="1:4" x14ac:dyDescent="0.25">
      <c r="A65" s="1">
        <v>48030</v>
      </c>
      <c r="B65">
        <v>67.23</v>
      </c>
      <c r="C65">
        <v>72.44</v>
      </c>
      <c r="D65">
        <v>69.260000000000005</v>
      </c>
    </row>
    <row r="66" spans="1:4" x14ac:dyDescent="0.25">
      <c r="A66" s="1">
        <v>48061</v>
      </c>
      <c r="B66">
        <v>67.27</v>
      </c>
      <c r="C66">
        <v>72.349999999999994</v>
      </c>
      <c r="D66">
        <v>69.16</v>
      </c>
    </row>
    <row r="67" spans="1:4" x14ac:dyDescent="0.25">
      <c r="A67" s="1">
        <v>48092</v>
      </c>
      <c r="B67">
        <v>67.3</v>
      </c>
      <c r="C67">
        <v>72.260000000000005</v>
      </c>
      <c r="D67">
        <v>69.05</v>
      </c>
    </row>
    <row r="68" spans="1:4" x14ac:dyDescent="0.25">
      <c r="A68" s="1">
        <v>48122</v>
      </c>
      <c r="B68">
        <v>67.33</v>
      </c>
      <c r="C68">
        <v>72.17</v>
      </c>
      <c r="D68">
        <v>68.91</v>
      </c>
    </row>
    <row r="69" spans="1:4" x14ac:dyDescent="0.25">
      <c r="A69" s="1">
        <v>48153</v>
      </c>
      <c r="B69">
        <v>67.37</v>
      </c>
      <c r="C69">
        <v>72.08</v>
      </c>
      <c r="D69">
        <v>68.84</v>
      </c>
    </row>
    <row r="70" spans="1:4" x14ac:dyDescent="0.25">
      <c r="A70" s="1">
        <v>48183</v>
      </c>
      <c r="B70">
        <v>67.41</v>
      </c>
      <c r="C70">
        <v>72.040000000000006</v>
      </c>
      <c r="D70">
        <v>68.78</v>
      </c>
    </row>
    <row r="71" spans="1:4" x14ac:dyDescent="0.25">
      <c r="A71" s="1">
        <v>48214</v>
      </c>
      <c r="B71">
        <v>67.44</v>
      </c>
      <c r="C71">
        <v>72.010000000000005</v>
      </c>
      <c r="D71">
        <v>68.709999999999994</v>
      </c>
    </row>
    <row r="72" spans="1:4" x14ac:dyDescent="0.25">
      <c r="A72" s="1">
        <v>48245</v>
      </c>
      <c r="B72">
        <v>67.47</v>
      </c>
      <c r="C72">
        <v>71.97</v>
      </c>
      <c r="D72">
        <v>68.64</v>
      </c>
    </row>
    <row r="73" spans="1:4" x14ac:dyDescent="0.25">
      <c r="A73" s="1">
        <v>48274</v>
      </c>
      <c r="B73">
        <v>67.489999999999995</v>
      </c>
      <c r="C73">
        <v>71.930000000000007</v>
      </c>
      <c r="D73">
        <v>68.56</v>
      </c>
    </row>
    <row r="74" spans="1:4" x14ac:dyDescent="0.25">
      <c r="A74" s="1">
        <v>48305</v>
      </c>
      <c r="B74">
        <v>67.489999999999995</v>
      </c>
      <c r="C74">
        <v>71.88</v>
      </c>
      <c r="D74">
        <v>68.459999999999994</v>
      </c>
    </row>
    <row r="75" spans="1:4" x14ac:dyDescent="0.25">
      <c r="A75" s="1">
        <v>48335</v>
      </c>
      <c r="B75">
        <v>67.489999999999995</v>
      </c>
      <c r="C75">
        <v>71.81</v>
      </c>
      <c r="D75">
        <v>68.38</v>
      </c>
    </row>
    <row r="76" spans="1:4" x14ac:dyDescent="0.25">
      <c r="A76" s="1">
        <v>48366</v>
      </c>
      <c r="B76">
        <v>67.489999999999995</v>
      </c>
      <c r="C76">
        <v>71.75</v>
      </c>
      <c r="D76">
        <v>68.3</v>
      </c>
    </row>
    <row r="77" spans="1:4" x14ac:dyDescent="0.25">
      <c r="A77" s="1">
        <v>48396</v>
      </c>
      <c r="B77">
        <v>67.510000000000005</v>
      </c>
      <c r="C77">
        <v>71.69</v>
      </c>
      <c r="D77">
        <v>68.22</v>
      </c>
    </row>
    <row r="78" spans="1:4" x14ac:dyDescent="0.25">
      <c r="A78" s="1">
        <v>48427</v>
      </c>
      <c r="B78">
        <v>67.52</v>
      </c>
      <c r="C78">
        <v>71.63</v>
      </c>
      <c r="D78">
        <v>68.14</v>
      </c>
    </row>
    <row r="79" spans="1:4" x14ac:dyDescent="0.25">
      <c r="A79" s="1">
        <v>48458</v>
      </c>
      <c r="B79">
        <v>67.53</v>
      </c>
      <c r="C79">
        <v>71.569999999999993</v>
      </c>
      <c r="D79">
        <v>68.05</v>
      </c>
    </row>
    <row r="80" spans="1:4" x14ac:dyDescent="0.25">
      <c r="A80" s="1">
        <v>48488</v>
      </c>
      <c r="B80">
        <v>67.510000000000005</v>
      </c>
      <c r="C80">
        <v>71.5</v>
      </c>
      <c r="D80">
        <v>67.95</v>
      </c>
    </row>
    <row r="81" spans="1:4" x14ac:dyDescent="0.25">
      <c r="A81" s="1">
        <v>48519</v>
      </c>
      <c r="B81">
        <v>67.5</v>
      </c>
      <c r="C81">
        <v>71.430000000000007</v>
      </c>
      <c r="D81">
        <v>67.89</v>
      </c>
    </row>
    <row r="82" spans="1:4" x14ac:dyDescent="0.25">
      <c r="A82" s="1">
        <v>48549</v>
      </c>
      <c r="B82">
        <v>67.489999999999995</v>
      </c>
      <c r="C82">
        <v>71.42</v>
      </c>
      <c r="D82">
        <v>67.83</v>
      </c>
    </row>
    <row r="83" spans="1:4" x14ac:dyDescent="0.25">
      <c r="A83" s="1">
        <v>48580</v>
      </c>
      <c r="B83">
        <v>67.489999999999995</v>
      </c>
      <c r="C83">
        <v>71.41</v>
      </c>
      <c r="D83">
        <v>67.78</v>
      </c>
    </row>
    <row r="84" spans="1:4" x14ac:dyDescent="0.25">
      <c r="A84" s="1">
        <v>48611</v>
      </c>
      <c r="B84">
        <v>67.489999999999995</v>
      </c>
      <c r="C84">
        <v>71.400000000000006</v>
      </c>
    </row>
    <row r="85" spans="1:4" x14ac:dyDescent="0.25">
      <c r="A85" s="1">
        <v>48639</v>
      </c>
      <c r="B85">
        <v>67.489999999999995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8CDE-194F-4087-A965-4D5BA108FD88}">
  <dimension ref="A1:V72"/>
  <sheetViews>
    <sheetView workbookViewId="0">
      <selection activeCell="B72" sqref="B72"/>
    </sheetView>
  </sheetViews>
  <sheetFormatPr defaultRowHeight="15" x14ac:dyDescent="0.25"/>
  <cols>
    <col min="1" max="1" width="17.28515625" bestFit="1" customWidth="1"/>
    <col min="3" max="3" width="8.7109375" bestFit="1" customWidth="1"/>
    <col min="4" max="4" width="16.28515625" bestFit="1" customWidth="1"/>
    <col min="7" max="22" width="9.140625" style="2"/>
  </cols>
  <sheetData>
    <row r="1" spans="1:4" x14ac:dyDescent="0.25">
      <c r="A1" t="s">
        <v>0</v>
      </c>
      <c r="B1" t="s">
        <v>34</v>
      </c>
      <c r="C1" t="s">
        <v>35</v>
      </c>
      <c r="D1" t="s">
        <v>36</v>
      </c>
    </row>
    <row r="2" spans="1:4" x14ac:dyDescent="0.25">
      <c r="A2" s="1">
        <v>46024</v>
      </c>
      <c r="B2">
        <v>105</v>
      </c>
      <c r="C2">
        <v>81.400000000000006</v>
      </c>
      <c r="D2">
        <v>23.599999999999994</v>
      </c>
    </row>
    <row r="3" spans="1:4" x14ac:dyDescent="0.25">
      <c r="A3" s="1">
        <v>46027</v>
      </c>
      <c r="B3">
        <v>106.1</v>
      </c>
      <c r="C3">
        <v>81.7</v>
      </c>
      <c r="D3">
        <v>24.399999999999991</v>
      </c>
    </row>
    <row r="4" spans="1:4" x14ac:dyDescent="0.25">
      <c r="A4" s="1">
        <v>46028</v>
      </c>
      <c r="B4">
        <v>106.8</v>
      </c>
      <c r="C4">
        <v>82.4</v>
      </c>
      <c r="D4">
        <v>24.399999999999991</v>
      </c>
    </row>
    <row r="5" spans="1:4" x14ac:dyDescent="0.25">
      <c r="A5" s="1">
        <v>46029</v>
      </c>
      <c r="B5">
        <v>104.6</v>
      </c>
      <c r="C5">
        <v>82.1</v>
      </c>
      <c r="D5">
        <v>22.5</v>
      </c>
    </row>
    <row r="6" spans="1:4" x14ac:dyDescent="0.25">
      <c r="A6" s="1">
        <v>46030</v>
      </c>
      <c r="B6">
        <v>103.8</v>
      </c>
      <c r="C6">
        <v>82.1</v>
      </c>
      <c r="D6">
        <v>21.700000000000003</v>
      </c>
    </row>
    <row r="7" spans="1:4" x14ac:dyDescent="0.25">
      <c r="A7" s="1">
        <v>46031</v>
      </c>
      <c r="B7">
        <v>106.1</v>
      </c>
      <c r="C7">
        <v>84.9</v>
      </c>
      <c r="D7">
        <v>21.199999999999989</v>
      </c>
    </row>
    <row r="8" spans="1:4" x14ac:dyDescent="0.25">
      <c r="A8" s="1">
        <v>46034</v>
      </c>
      <c r="B8">
        <v>107</v>
      </c>
      <c r="C8">
        <v>85.9</v>
      </c>
      <c r="D8">
        <v>21.099999999999994</v>
      </c>
    </row>
    <row r="9" spans="1:4" x14ac:dyDescent="0.25">
      <c r="A9" s="1">
        <v>46035</v>
      </c>
      <c r="B9">
        <v>107.8</v>
      </c>
      <c r="C9">
        <v>86.3</v>
      </c>
      <c r="D9">
        <v>21.5</v>
      </c>
    </row>
    <row r="10" spans="1:4" x14ac:dyDescent="0.25">
      <c r="A10" s="1">
        <v>46036</v>
      </c>
      <c r="B10">
        <v>110.8</v>
      </c>
      <c r="C10">
        <v>87.4</v>
      </c>
      <c r="D10">
        <v>23.399999999999991</v>
      </c>
    </row>
    <row r="11" spans="1:4" x14ac:dyDescent="0.25">
      <c r="A11" s="1">
        <v>46037</v>
      </c>
      <c r="B11">
        <v>112.4</v>
      </c>
      <c r="C11">
        <v>87.6</v>
      </c>
      <c r="D11">
        <v>24.800000000000011</v>
      </c>
    </row>
    <row r="12" spans="1:4" x14ac:dyDescent="0.25">
      <c r="A12" s="1">
        <v>46038</v>
      </c>
      <c r="B12">
        <v>110.1</v>
      </c>
      <c r="C12">
        <v>85.8</v>
      </c>
      <c r="D12">
        <v>24.299999999999997</v>
      </c>
    </row>
    <row r="13" spans="1:4" x14ac:dyDescent="0.25">
      <c r="A13" s="1">
        <v>46041</v>
      </c>
      <c r="B13">
        <v>111.4</v>
      </c>
      <c r="C13">
        <v>85.7</v>
      </c>
      <c r="D13">
        <v>25.700000000000003</v>
      </c>
    </row>
    <row r="14" spans="1:4" x14ac:dyDescent="0.25">
      <c r="A14" s="1">
        <v>46042</v>
      </c>
      <c r="B14">
        <v>111.1</v>
      </c>
      <c r="C14">
        <v>85.4</v>
      </c>
      <c r="D14">
        <v>25.699999999999989</v>
      </c>
    </row>
    <row r="15" spans="1:4" x14ac:dyDescent="0.25">
      <c r="A15" s="1">
        <v>46043</v>
      </c>
      <c r="B15">
        <v>114.3</v>
      </c>
      <c r="C15">
        <v>86.6</v>
      </c>
      <c r="D15">
        <v>27.700000000000003</v>
      </c>
    </row>
    <row r="16" spans="1:4" x14ac:dyDescent="0.25">
      <c r="A16" s="1">
        <v>46044</v>
      </c>
      <c r="B16">
        <v>118</v>
      </c>
      <c r="C16">
        <v>87.8</v>
      </c>
      <c r="D16">
        <v>30.200000000000003</v>
      </c>
    </row>
    <row r="17" spans="1:4" x14ac:dyDescent="0.25">
      <c r="A17" s="1">
        <v>46045</v>
      </c>
      <c r="B17">
        <v>115.8</v>
      </c>
      <c r="C17">
        <v>86.1</v>
      </c>
      <c r="D17">
        <v>29.700000000000003</v>
      </c>
    </row>
    <row r="18" spans="1:4" x14ac:dyDescent="0.25">
      <c r="A18" s="1">
        <v>46048</v>
      </c>
      <c r="B18">
        <v>117.6</v>
      </c>
      <c r="C18">
        <v>87.1</v>
      </c>
      <c r="D18">
        <v>30.5</v>
      </c>
    </row>
    <row r="19" spans="1:4" x14ac:dyDescent="0.25">
      <c r="A19" s="1">
        <v>46049</v>
      </c>
      <c r="B19">
        <v>120</v>
      </c>
      <c r="C19">
        <v>86.1</v>
      </c>
      <c r="D19">
        <v>33.900000000000006</v>
      </c>
    </row>
    <row r="20" spans="1:4" x14ac:dyDescent="0.25">
      <c r="A20" s="1">
        <v>46050</v>
      </c>
      <c r="B20">
        <v>121.9</v>
      </c>
      <c r="C20">
        <v>87.2</v>
      </c>
      <c r="D20">
        <v>34.700000000000003</v>
      </c>
    </row>
    <row r="21" spans="1:4" x14ac:dyDescent="0.25">
      <c r="A21" s="1">
        <v>46051</v>
      </c>
      <c r="B21">
        <v>122.8</v>
      </c>
      <c r="C21">
        <v>88</v>
      </c>
      <c r="D21">
        <v>34.799999999999997</v>
      </c>
    </row>
    <row r="22" spans="1:4" x14ac:dyDescent="0.25">
      <c r="A22" s="1">
        <v>46052</v>
      </c>
      <c r="B22">
        <v>121.4</v>
      </c>
      <c r="C22">
        <v>88.8</v>
      </c>
      <c r="D22">
        <v>32.600000000000009</v>
      </c>
    </row>
    <row r="23" spans="1:4" x14ac:dyDescent="0.25">
      <c r="A23" s="1">
        <v>46055</v>
      </c>
      <c r="B23">
        <v>125.3</v>
      </c>
      <c r="C23">
        <v>88.9</v>
      </c>
      <c r="D23">
        <v>36.399999999999991</v>
      </c>
    </row>
    <row r="24" spans="1:4" x14ac:dyDescent="0.25">
      <c r="A24" s="1">
        <v>46056</v>
      </c>
      <c r="B24">
        <v>120</v>
      </c>
      <c r="C24">
        <v>86.6</v>
      </c>
      <c r="D24">
        <v>33.400000000000006</v>
      </c>
    </row>
    <row r="25" spans="1:4" x14ac:dyDescent="0.25">
      <c r="A25" s="1">
        <v>46057</v>
      </c>
      <c r="B25">
        <v>121.6</v>
      </c>
      <c r="C25">
        <v>88.4</v>
      </c>
      <c r="D25">
        <v>33.199999999999989</v>
      </c>
    </row>
    <row r="26" spans="1:4" x14ac:dyDescent="0.25">
      <c r="A26" s="1">
        <v>46058</v>
      </c>
      <c r="B26">
        <v>124.2</v>
      </c>
      <c r="C26">
        <v>91</v>
      </c>
      <c r="D26">
        <v>33.200000000000003</v>
      </c>
    </row>
    <row r="27" spans="1:4" x14ac:dyDescent="0.25">
      <c r="A27" s="1">
        <v>46059</v>
      </c>
      <c r="B27">
        <v>121.6</v>
      </c>
      <c r="C27">
        <v>89.8</v>
      </c>
      <c r="D27">
        <v>31.799999999999997</v>
      </c>
    </row>
    <row r="28" spans="1:4" x14ac:dyDescent="0.25">
      <c r="A28" s="1">
        <v>46062</v>
      </c>
      <c r="B28">
        <v>121.3</v>
      </c>
      <c r="C28">
        <v>90.9</v>
      </c>
      <c r="D28">
        <v>30.399999999999991</v>
      </c>
    </row>
    <row r="29" spans="1:4" x14ac:dyDescent="0.25">
      <c r="A29" s="1">
        <v>46063</v>
      </c>
      <c r="B29">
        <v>121.1</v>
      </c>
      <c r="C29">
        <v>90.9</v>
      </c>
      <c r="D29">
        <v>30.199999999999989</v>
      </c>
    </row>
    <row r="30" spans="1:4" x14ac:dyDescent="0.25">
      <c r="A30" s="1">
        <v>46064</v>
      </c>
      <c r="B30">
        <v>120.4</v>
      </c>
      <c r="C30">
        <v>90</v>
      </c>
      <c r="D30">
        <v>30.400000000000006</v>
      </c>
    </row>
    <row r="31" spans="1:4" x14ac:dyDescent="0.25">
      <c r="A31" s="1">
        <v>46065</v>
      </c>
      <c r="B31">
        <v>120.9</v>
      </c>
      <c r="C31">
        <v>91.1</v>
      </c>
      <c r="D31">
        <v>29.800000000000011</v>
      </c>
    </row>
    <row r="32" spans="1:4" x14ac:dyDescent="0.25">
      <c r="A32" s="1">
        <v>46066</v>
      </c>
      <c r="B32">
        <v>119.7</v>
      </c>
      <c r="C32">
        <v>89.7</v>
      </c>
      <c r="D32">
        <v>30</v>
      </c>
    </row>
    <row r="33" spans="1:4" x14ac:dyDescent="0.25">
      <c r="A33" s="1">
        <v>46070</v>
      </c>
      <c r="B33">
        <v>119.1</v>
      </c>
      <c r="C33">
        <v>89.1</v>
      </c>
      <c r="D33">
        <v>30</v>
      </c>
    </row>
    <row r="34" spans="1:4" x14ac:dyDescent="0.25">
      <c r="A34" s="1">
        <v>46071</v>
      </c>
      <c r="B34">
        <v>119.1</v>
      </c>
      <c r="C34">
        <v>89.3</v>
      </c>
      <c r="D34">
        <v>29.799999999999997</v>
      </c>
    </row>
    <row r="35" spans="1:4" x14ac:dyDescent="0.25">
      <c r="A35" s="1">
        <v>46072</v>
      </c>
      <c r="B35">
        <v>124.2</v>
      </c>
      <c r="C35">
        <v>92.9</v>
      </c>
      <c r="D35">
        <v>31.299999999999997</v>
      </c>
    </row>
    <row r="36" spans="1:4" x14ac:dyDescent="0.25">
      <c r="A36" s="1">
        <v>46073</v>
      </c>
      <c r="B36">
        <v>126.8</v>
      </c>
      <c r="C36">
        <v>94.8</v>
      </c>
      <c r="D36">
        <v>32</v>
      </c>
    </row>
    <row r="37" spans="1:4" x14ac:dyDescent="0.25">
      <c r="A37" s="1">
        <v>46076</v>
      </c>
      <c r="B37">
        <v>125.2</v>
      </c>
      <c r="C37">
        <v>92.9</v>
      </c>
      <c r="D37">
        <v>32.299999999999997</v>
      </c>
    </row>
    <row r="38" spans="1:4" x14ac:dyDescent="0.25">
      <c r="A38" s="1">
        <v>46077</v>
      </c>
      <c r="B38">
        <v>127.6</v>
      </c>
      <c r="C38">
        <v>92.2</v>
      </c>
      <c r="D38">
        <v>35.399999999999991</v>
      </c>
    </row>
    <row r="39" spans="1:4" x14ac:dyDescent="0.25">
      <c r="A39" s="1">
        <v>46078</v>
      </c>
      <c r="B39">
        <v>126.4</v>
      </c>
      <c r="C39">
        <v>91.4</v>
      </c>
      <c r="D39">
        <v>35</v>
      </c>
    </row>
    <row r="40" spans="1:4" x14ac:dyDescent="0.25">
      <c r="A40" s="1">
        <v>46079</v>
      </c>
      <c r="B40">
        <v>125.5</v>
      </c>
      <c r="C40">
        <v>93.8</v>
      </c>
      <c r="D40">
        <v>31.700000000000003</v>
      </c>
    </row>
    <row r="41" spans="1:4" x14ac:dyDescent="0.25">
      <c r="A41" s="1">
        <v>46080</v>
      </c>
      <c r="B41">
        <v>125.5</v>
      </c>
      <c r="C41">
        <v>94.7</v>
      </c>
      <c r="D41">
        <v>30.799999999999997</v>
      </c>
    </row>
    <row r="42" spans="1:4" x14ac:dyDescent="0.25">
      <c r="A42" s="1">
        <v>46083</v>
      </c>
      <c r="B42">
        <v>127.1</v>
      </c>
      <c r="C42">
        <v>95.5</v>
      </c>
      <c r="D42">
        <v>31.599999999999994</v>
      </c>
    </row>
    <row r="43" spans="1:4" x14ac:dyDescent="0.25">
      <c r="A43" s="1">
        <v>46084</v>
      </c>
      <c r="B43">
        <v>137.80000000000001</v>
      </c>
      <c r="C43">
        <v>100.4</v>
      </c>
      <c r="D43">
        <v>37.400000000000006</v>
      </c>
    </row>
    <row r="44" spans="1:4" x14ac:dyDescent="0.25">
      <c r="A44" s="1">
        <v>46085</v>
      </c>
      <c r="B44">
        <v>147.9</v>
      </c>
      <c r="C44">
        <v>103.5</v>
      </c>
      <c r="D44">
        <v>44.400000000000006</v>
      </c>
    </row>
    <row r="45" spans="1:4" x14ac:dyDescent="0.25">
      <c r="A45" s="1">
        <v>46086</v>
      </c>
      <c r="B45">
        <v>151.19999999999999</v>
      </c>
      <c r="C45">
        <v>105.2</v>
      </c>
      <c r="D45">
        <v>45.999999999999986</v>
      </c>
    </row>
    <row r="46" spans="1:4" x14ac:dyDescent="0.25">
      <c r="A46" s="1">
        <v>46087</v>
      </c>
      <c r="B46">
        <v>163</v>
      </c>
      <c r="C46">
        <v>110.7</v>
      </c>
      <c r="D46">
        <v>52.3</v>
      </c>
    </row>
    <row r="47" spans="1:4" x14ac:dyDescent="0.25">
      <c r="A47" s="1">
        <v>46090</v>
      </c>
      <c r="B47">
        <v>161.69999999999999</v>
      </c>
      <c r="C47">
        <v>112.8</v>
      </c>
      <c r="D47">
        <v>48.899999999999991</v>
      </c>
    </row>
    <row r="48" spans="1:4" x14ac:dyDescent="0.25">
      <c r="A48" s="1">
        <v>46091</v>
      </c>
      <c r="B48">
        <v>160.30000000000001</v>
      </c>
      <c r="C48">
        <v>114.8</v>
      </c>
      <c r="D48">
        <v>45.500000000000014</v>
      </c>
    </row>
    <row r="49" spans="1:4" x14ac:dyDescent="0.25">
      <c r="A49" s="1">
        <v>46092</v>
      </c>
      <c r="B49">
        <v>151.30000000000001</v>
      </c>
      <c r="C49">
        <v>108.9</v>
      </c>
      <c r="D49">
        <v>42.400000000000006</v>
      </c>
    </row>
    <row r="50" spans="1:4" x14ac:dyDescent="0.25">
      <c r="A50" s="1">
        <v>46093</v>
      </c>
      <c r="B50">
        <v>162</v>
      </c>
      <c r="C50">
        <v>114</v>
      </c>
      <c r="D50">
        <v>48</v>
      </c>
    </row>
    <row r="51" spans="1:4" x14ac:dyDescent="0.25">
      <c r="A51" s="1">
        <v>46094</v>
      </c>
      <c r="B51">
        <v>168.4</v>
      </c>
      <c r="C51">
        <v>120.3</v>
      </c>
      <c r="D51">
        <v>48.100000000000009</v>
      </c>
    </row>
    <row r="52" spans="1:4" x14ac:dyDescent="0.25">
      <c r="A52" s="1">
        <v>46097</v>
      </c>
      <c r="B52">
        <v>173.2</v>
      </c>
      <c r="C52">
        <v>124</v>
      </c>
      <c r="D52">
        <v>49.199999999999989</v>
      </c>
    </row>
    <row r="53" spans="1:4" x14ac:dyDescent="0.25">
      <c r="A53" s="1">
        <v>46098</v>
      </c>
      <c r="B53">
        <v>164</v>
      </c>
      <c r="C53">
        <v>122.4</v>
      </c>
      <c r="D53">
        <v>41.599999999999994</v>
      </c>
    </row>
    <row r="54" spans="1:4" x14ac:dyDescent="0.25">
      <c r="A54" s="1">
        <v>46099</v>
      </c>
      <c r="B54">
        <v>169.9</v>
      </c>
      <c r="C54">
        <v>126.4</v>
      </c>
      <c r="D54">
        <v>43.5</v>
      </c>
    </row>
    <row r="55" spans="1:4" x14ac:dyDescent="0.25">
      <c r="A55" s="1">
        <v>46100</v>
      </c>
      <c r="B55">
        <v>176.3</v>
      </c>
      <c r="C55">
        <v>125.1</v>
      </c>
      <c r="D55">
        <v>51.200000000000017</v>
      </c>
    </row>
    <row r="56" spans="1:4" x14ac:dyDescent="0.25">
      <c r="A56" s="1">
        <v>46101</v>
      </c>
      <c r="B56">
        <v>181.1</v>
      </c>
      <c r="C56">
        <v>125.7</v>
      </c>
      <c r="D56">
        <v>55.399999999999991</v>
      </c>
    </row>
    <row r="57" spans="1:4" x14ac:dyDescent="0.25">
      <c r="A57" s="1">
        <v>46104</v>
      </c>
      <c r="B57">
        <v>190.6</v>
      </c>
      <c r="C57">
        <v>131.5</v>
      </c>
      <c r="D57">
        <v>59.099999999999994</v>
      </c>
    </row>
    <row r="58" spans="1:4" x14ac:dyDescent="0.25">
      <c r="A58" s="1">
        <v>46105</v>
      </c>
      <c r="B58">
        <v>170.5</v>
      </c>
      <c r="C58">
        <v>120.7</v>
      </c>
      <c r="D58">
        <v>49.8</v>
      </c>
    </row>
    <row r="59" spans="1:4" x14ac:dyDescent="0.25">
      <c r="A59" s="1">
        <v>46106</v>
      </c>
      <c r="B59">
        <v>179.9</v>
      </c>
      <c r="C59">
        <v>127.3</v>
      </c>
      <c r="D59">
        <v>52.600000000000009</v>
      </c>
    </row>
    <row r="60" spans="1:4" x14ac:dyDescent="0.25">
      <c r="A60" s="1">
        <v>46107</v>
      </c>
      <c r="B60">
        <v>170.5</v>
      </c>
      <c r="C60">
        <v>121.5</v>
      </c>
      <c r="D60">
        <v>49</v>
      </c>
    </row>
    <row r="61" spans="1:4" x14ac:dyDescent="0.25">
      <c r="A61" s="1">
        <v>46108</v>
      </c>
      <c r="B61">
        <v>179.7</v>
      </c>
      <c r="C61">
        <v>126.7</v>
      </c>
      <c r="D61">
        <v>52.999999999999986</v>
      </c>
    </row>
    <row r="62" spans="1:4" x14ac:dyDescent="0.25">
      <c r="A62" s="1">
        <v>46111</v>
      </c>
      <c r="B62">
        <v>187.2</v>
      </c>
      <c r="C62">
        <v>131</v>
      </c>
      <c r="D62">
        <v>56.199999999999989</v>
      </c>
    </row>
    <row r="63" spans="1:4" x14ac:dyDescent="0.25">
      <c r="A63" s="1">
        <v>46112</v>
      </c>
      <c r="B63">
        <v>185.6</v>
      </c>
      <c r="C63">
        <v>134.30000000000001</v>
      </c>
      <c r="D63">
        <v>51.299999999999983</v>
      </c>
    </row>
    <row r="64" spans="1:4" x14ac:dyDescent="0.25">
      <c r="A64" s="1">
        <v>46113</v>
      </c>
      <c r="B64">
        <v>180.2</v>
      </c>
      <c r="C64">
        <v>134.69999999999999</v>
      </c>
      <c r="D64">
        <v>45.5</v>
      </c>
    </row>
    <row r="65" spans="1:4" x14ac:dyDescent="0.25">
      <c r="A65" s="1">
        <v>46114</v>
      </c>
      <c r="B65">
        <v>177.5</v>
      </c>
      <c r="C65">
        <v>130</v>
      </c>
      <c r="D65">
        <v>47.5</v>
      </c>
    </row>
    <row r="66" spans="1:4" x14ac:dyDescent="0.25">
      <c r="A66" s="1">
        <v>46115</v>
      </c>
      <c r="B66">
        <v>177.5</v>
      </c>
      <c r="C66">
        <v>130</v>
      </c>
      <c r="D66">
        <v>47.5</v>
      </c>
    </row>
    <row r="67" spans="1:4" x14ac:dyDescent="0.25">
      <c r="A67" s="1">
        <v>46118</v>
      </c>
      <c r="B67">
        <v>188.7</v>
      </c>
      <c r="C67">
        <v>137.5</v>
      </c>
      <c r="D67">
        <v>51.199999999999989</v>
      </c>
    </row>
    <row r="68" spans="1:4" x14ac:dyDescent="0.25">
      <c r="A68" s="1">
        <v>46119</v>
      </c>
      <c r="B68">
        <v>188.6</v>
      </c>
      <c r="C68">
        <v>137.5</v>
      </c>
      <c r="D68">
        <v>51.099999999999994</v>
      </c>
    </row>
    <row r="69" spans="1:4" x14ac:dyDescent="0.25">
      <c r="A69" s="1">
        <v>46120</v>
      </c>
      <c r="B69">
        <v>195.7</v>
      </c>
      <c r="C69">
        <v>138.6</v>
      </c>
      <c r="D69">
        <v>57.099999999999994</v>
      </c>
    </row>
    <row r="70" spans="1:4" x14ac:dyDescent="0.25">
      <c r="A70" s="1">
        <v>46121</v>
      </c>
      <c r="B70">
        <v>171.5</v>
      </c>
      <c r="C70">
        <v>127</v>
      </c>
      <c r="D70">
        <v>44.5</v>
      </c>
    </row>
    <row r="71" spans="1:4" x14ac:dyDescent="0.25">
      <c r="A71" s="1">
        <v>46122</v>
      </c>
      <c r="B71">
        <v>175.2</v>
      </c>
      <c r="C71">
        <v>126.6</v>
      </c>
      <c r="D71">
        <v>48.599999999999994</v>
      </c>
    </row>
    <row r="72" spans="1:4" x14ac:dyDescent="0.25">
      <c r="A72" s="1">
        <v>46125</v>
      </c>
      <c r="B72">
        <v>169.8</v>
      </c>
      <c r="C72">
        <v>128.1</v>
      </c>
      <c r="D72">
        <v>41.700000000000017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FA7E-2EA9-408E-856F-0244992B50D4}">
  <dimension ref="A1:E38"/>
  <sheetViews>
    <sheetView workbookViewId="0">
      <selection sqref="A1:A1048576"/>
    </sheetView>
  </sheetViews>
  <sheetFormatPr defaultRowHeight="15" x14ac:dyDescent="0.25"/>
  <cols>
    <col min="1" max="1" width="16.7109375" style="1" bestFit="1" customWidth="1"/>
    <col min="2" max="2" width="14.28515625" bestFit="1" customWidth="1"/>
    <col min="3" max="4" width="10.85546875" bestFit="1" customWidth="1"/>
    <col min="5" max="5" width="10.5703125" bestFit="1" customWidth="1"/>
  </cols>
  <sheetData>
    <row r="1" spans="1:5" x14ac:dyDescent="0.25">
      <c r="A1" s="1" t="s">
        <v>33</v>
      </c>
      <c r="B1" t="s">
        <v>18</v>
      </c>
      <c r="C1" t="s">
        <v>24</v>
      </c>
      <c r="D1" t="s">
        <v>25</v>
      </c>
      <c r="E1" t="s">
        <v>26</v>
      </c>
    </row>
    <row r="2" spans="1:5" x14ac:dyDescent="0.25">
      <c r="A2" s="1">
        <v>46082</v>
      </c>
      <c r="B2" s="1">
        <v>46054</v>
      </c>
      <c r="C2">
        <v>1.3637900000000001</v>
      </c>
      <c r="D2">
        <v>1.3732899999999999</v>
      </c>
      <c r="E2">
        <v>1.3839999999999999</v>
      </c>
    </row>
    <row r="3" spans="1:5" x14ac:dyDescent="0.25">
      <c r="A3" s="1">
        <v>46113</v>
      </c>
      <c r="B3" s="1">
        <v>46082</v>
      </c>
      <c r="C3">
        <v>1.362222</v>
      </c>
      <c r="D3">
        <v>1.371191</v>
      </c>
      <c r="E3">
        <v>1.3821779999999999</v>
      </c>
    </row>
    <row r="4" spans="1:5" x14ac:dyDescent="0.25">
      <c r="A4" s="1">
        <v>46143</v>
      </c>
      <c r="B4" s="1">
        <v>46113</v>
      </c>
      <c r="C4">
        <v>1.360398</v>
      </c>
      <c r="D4">
        <v>1.369267</v>
      </c>
      <c r="E4">
        <v>1.3801859999999999</v>
      </c>
    </row>
    <row r="5" spans="1:5" x14ac:dyDescent="0.25">
      <c r="A5" s="1">
        <v>46174</v>
      </c>
      <c r="B5" s="1">
        <v>46143</v>
      </c>
      <c r="C5">
        <v>1.358765</v>
      </c>
      <c r="D5">
        <v>1.3675660000000001</v>
      </c>
      <c r="E5">
        <v>1.3785099999999999</v>
      </c>
    </row>
    <row r="6" spans="1:5" x14ac:dyDescent="0.25">
      <c r="A6" s="1">
        <v>46204</v>
      </c>
      <c r="B6" s="1">
        <v>46174</v>
      </c>
      <c r="C6">
        <v>1.3573949999999999</v>
      </c>
      <c r="D6">
        <v>1.362484</v>
      </c>
      <c r="E6">
        <v>1.3766970000000001</v>
      </c>
    </row>
    <row r="7" spans="1:5" x14ac:dyDescent="0.25">
      <c r="A7" s="1">
        <v>46235</v>
      </c>
      <c r="B7" s="1">
        <v>46204</v>
      </c>
      <c r="C7">
        <v>1.3555090000000001</v>
      </c>
      <c r="D7">
        <v>1.3581490000000001</v>
      </c>
      <c r="E7">
        <v>1.3749119999999999</v>
      </c>
    </row>
    <row r="8" spans="1:5" x14ac:dyDescent="0.25">
      <c r="A8" s="1">
        <v>46266</v>
      </c>
      <c r="B8" s="1">
        <v>46235</v>
      </c>
      <c r="C8">
        <v>1.3538300000000001</v>
      </c>
      <c r="D8">
        <v>1.362603</v>
      </c>
      <c r="E8">
        <v>1.3734310000000001</v>
      </c>
    </row>
    <row r="9" spans="1:5" x14ac:dyDescent="0.25">
      <c r="A9" s="1">
        <v>46296</v>
      </c>
      <c r="B9" s="1">
        <v>46266</v>
      </c>
      <c r="C9">
        <v>1.3523400000000001</v>
      </c>
      <c r="D9">
        <v>1.361181</v>
      </c>
      <c r="E9">
        <v>1.37188</v>
      </c>
    </row>
    <row r="10" spans="1:5" x14ac:dyDescent="0.25">
      <c r="A10" s="1">
        <v>46327</v>
      </c>
      <c r="B10" s="1">
        <v>46296</v>
      </c>
      <c r="C10">
        <v>1.35094</v>
      </c>
      <c r="D10">
        <v>1.359931</v>
      </c>
      <c r="E10">
        <v>1.3704559999999999</v>
      </c>
    </row>
    <row r="11" spans="1:5" x14ac:dyDescent="0.25">
      <c r="A11" s="1">
        <v>46357</v>
      </c>
      <c r="B11" s="1">
        <v>46327</v>
      </c>
      <c r="C11">
        <v>1.3496699999999999</v>
      </c>
      <c r="D11">
        <v>1.3586510000000001</v>
      </c>
      <c r="E11">
        <v>1.369048</v>
      </c>
    </row>
    <row r="12" spans="1:5" x14ac:dyDescent="0.25">
      <c r="A12" s="1">
        <v>46388</v>
      </c>
      <c r="B12" s="1">
        <v>46357</v>
      </c>
      <c r="C12">
        <v>1.34833</v>
      </c>
      <c r="D12">
        <v>1.357281</v>
      </c>
      <c r="E12">
        <v>1.367583</v>
      </c>
    </row>
    <row r="13" spans="1:5" x14ac:dyDescent="0.25">
      <c r="A13" s="1">
        <v>46419</v>
      </c>
      <c r="B13" s="1">
        <v>46388</v>
      </c>
      <c r="C13">
        <v>1.34731</v>
      </c>
      <c r="D13">
        <v>1.355737</v>
      </c>
      <c r="E13">
        <v>1.366541</v>
      </c>
    </row>
    <row r="14" spans="1:5" x14ac:dyDescent="0.25">
      <c r="A14" s="1">
        <v>46447</v>
      </c>
      <c r="B14" s="1">
        <v>46419</v>
      </c>
      <c r="C14">
        <v>1.34629</v>
      </c>
      <c r="D14">
        <v>1.3551709999999999</v>
      </c>
      <c r="E14">
        <v>1.365456</v>
      </c>
    </row>
    <row r="15" spans="1:5" x14ac:dyDescent="0.25">
      <c r="A15" s="1">
        <v>46478</v>
      </c>
      <c r="B15" s="1">
        <v>46447</v>
      </c>
      <c r="C15">
        <v>1.3453079999999999</v>
      </c>
      <c r="D15">
        <v>1.3540449999999999</v>
      </c>
      <c r="E15">
        <v>1.3643259999999999</v>
      </c>
    </row>
    <row r="16" spans="1:5" x14ac:dyDescent="0.25">
      <c r="A16" s="1">
        <v>46508</v>
      </c>
      <c r="B16" s="1">
        <v>46478</v>
      </c>
      <c r="C16">
        <v>1.344327</v>
      </c>
      <c r="D16">
        <v>1.3529199999999999</v>
      </c>
      <c r="E16">
        <v>1.363197</v>
      </c>
    </row>
    <row r="17" spans="1:5" x14ac:dyDescent="0.25">
      <c r="A17" s="1">
        <v>46539</v>
      </c>
      <c r="B17" s="1">
        <v>46508</v>
      </c>
      <c r="C17">
        <v>1.343342</v>
      </c>
      <c r="D17">
        <v>1.3519969999999999</v>
      </c>
      <c r="E17">
        <v>1.3622050000000001</v>
      </c>
    </row>
    <row r="18" spans="1:5" x14ac:dyDescent="0.25">
      <c r="A18" s="1">
        <v>46569</v>
      </c>
      <c r="B18" s="1">
        <v>46539</v>
      </c>
      <c r="C18">
        <v>1.342365</v>
      </c>
      <c r="D18">
        <v>1.351216</v>
      </c>
      <c r="E18">
        <v>1.3613029999999999</v>
      </c>
    </row>
    <row r="19" spans="1:5" x14ac:dyDescent="0.25">
      <c r="A19" s="1">
        <v>46600</v>
      </c>
      <c r="B19" s="1">
        <v>46569</v>
      </c>
      <c r="C19">
        <v>1.341388</v>
      </c>
      <c r="D19">
        <v>1.350436</v>
      </c>
      <c r="E19">
        <v>1.3604019999999999</v>
      </c>
    </row>
    <row r="20" spans="1:5" x14ac:dyDescent="0.25">
      <c r="A20" s="1">
        <v>46631</v>
      </c>
      <c r="B20" s="1">
        <v>46600</v>
      </c>
      <c r="C20">
        <v>1.340449</v>
      </c>
      <c r="D20">
        <v>1.3497030000000001</v>
      </c>
      <c r="E20">
        <v>1.3595269999999999</v>
      </c>
    </row>
    <row r="21" spans="1:5" x14ac:dyDescent="0.25">
      <c r="A21" s="1">
        <v>46661</v>
      </c>
      <c r="B21" s="1">
        <v>46631</v>
      </c>
      <c r="C21">
        <v>1.3395090000000001</v>
      </c>
      <c r="D21">
        <v>1.34897</v>
      </c>
      <c r="E21">
        <v>1.3586510000000001</v>
      </c>
    </row>
    <row r="22" spans="1:5" x14ac:dyDescent="0.25">
      <c r="A22" s="1">
        <v>46692</v>
      </c>
      <c r="B22" s="1">
        <v>46661</v>
      </c>
      <c r="C22">
        <v>1.3386070000000001</v>
      </c>
      <c r="D22">
        <v>1.3482860000000001</v>
      </c>
      <c r="E22">
        <v>1.3578030000000001</v>
      </c>
    </row>
    <row r="23" spans="1:5" x14ac:dyDescent="0.25">
      <c r="A23" s="1">
        <v>46722</v>
      </c>
      <c r="B23" s="1">
        <v>46692</v>
      </c>
      <c r="C23">
        <v>1.3377049999999999</v>
      </c>
      <c r="D23">
        <v>1.347601</v>
      </c>
      <c r="E23">
        <v>1.356954</v>
      </c>
    </row>
    <row r="24" spans="1:5" x14ac:dyDescent="0.25">
      <c r="A24" s="1">
        <v>46753</v>
      </c>
      <c r="B24" s="1">
        <v>46722</v>
      </c>
      <c r="C24">
        <v>1.336803</v>
      </c>
      <c r="D24">
        <v>1.346916</v>
      </c>
      <c r="E24">
        <v>1.3561049999999999</v>
      </c>
    </row>
    <row r="25" spans="1:5" x14ac:dyDescent="0.25">
      <c r="A25" s="1">
        <v>46784</v>
      </c>
      <c r="B25" s="1">
        <v>46753</v>
      </c>
      <c r="C25">
        <v>1.335901</v>
      </c>
      <c r="D25">
        <v>1.3462320000000001</v>
      </c>
      <c r="E25">
        <v>1.3552569999999999</v>
      </c>
    </row>
    <row r="26" spans="1:5" x14ac:dyDescent="0.25">
      <c r="A26" s="1">
        <v>46813</v>
      </c>
      <c r="B26" s="1">
        <v>46784</v>
      </c>
      <c r="C26">
        <v>1.334999</v>
      </c>
      <c r="D26">
        <v>1.345547</v>
      </c>
      <c r="E26">
        <v>1.3544080000000001</v>
      </c>
    </row>
    <row r="27" spans="1:5" x14ac:dyDescent="0.25">
      <c r="A27" s="1">
        <v>46844</v>
      </c>
      <c r="B27" s="1">
        <v>46813</v>
      </c>
      <c r="C27">
        <v>1.334247</v>
      </c>
      <c r="D27">
        <v>1.34484</v>
      </c>
      <c r="E27">
        <v>1.35364</v>
      </c>
    </row>
    <row r="28" spans="1:5" x14ac:dyDescent="0.25">
      <c r="A28" s="1">
        <v>46874</v>
      </c>
      <c r="B28" s="1">
        <v>46844</v>
      </c>
      <c r="C28">
        <v>1.3336699999999999</v>
      </c>
      <c r="D28">
        <v>1.344101</v>
      </c>
      <c r="E28">
        <v>1.3529709999999999</v>
      </c>
    </row>
    <row r="29" spans="1:5" x14ac:dyDescent="0.25">
      <c r="A29" s="1">
        <v>46905</v>
      </c>
      <c r="B29" s="1">
        <v>46874</v>
      </c>
      <c r="C29">
        <v>1.3330930000000001</v>
      </c>
      <c r="D29">
        <v>1.3433630000000001</v>
      </c>
      <c r="E29">
        <v>1.352301</v>
      </c>
    </row>
    <row r="30" spans="1:5" x14ac:dyDescent="0.25">
      <c r="A30" s="1">
        <v>46935</v>
      </c>
      <c r="B30" s="1">
        <v>46905</v>
      </c>
      <c r="C30">
        <v>1.332516</v>
      </c>
      <c r="D30">
        <v>1.342625</v>
      </c>
      <c r="E30">
        <v>1.3516319999999999</v>
      </c>
    </row>
    <row r="31" spans="1:5" x14ac:dyDescent="0.25">
      <c r="A31" s="1">
        <v>46966</v>
      </c>
      <c r="B31" s="1">
        <v>46935</v>
      </c>
      <c r="C31">
        <v>1.331939</v>
      </c>
      <c r="D31">
        <v>1.3418859999999999</v>
      </c>
      <c r="E31">
        <v>1.350962</v>
      </c>
    </row>
    <row r="32" spans="1:5" x14ac:dyDescent="0.25">
      <c r="A32" s="1">
        <v>46997</v>
      </c>
      <c r="B32" s="1">
        <v>46966</v>
      </c>
      <c r="C32">
        <v>1.3313619999999999</v>
      </c>
      <c r="D32">
        <v>1.341148</v>
      </c>
      <c r="E32">
        <v>1.350293</v>
      </c>
    </row>
    <row r="33" spans="1:5" x14ac:dyDescent="0.25">
      <c r="A33" s="1">
        <v>47027</v>
      </c>
      <c r="B33" s="1">
        <v>46997</v>
      </c>
      <c r="C33">
        <v>1.3307850000000001</v>
      </c>
      <c r="D33">
        <v>1.3404100000000001</v>
      </c>
      <c r="E33">
        <v>1.349623</v>
      </c>
    </row>
    <row r="34" spans="1:5" x14ac:dyDescent="0.25">
      <c r="A34" s="1">
        <v>47058</v>
      </c>
      <c r="B34" s="1">
        <v>47027</v>
      </c>
      <c r="C34">
        <v>1.3302080000000001</v>
      </c>
      <c r="D34">
        <v>1.3396710000000001</v>
      </c>
      <c r="E34">
        <v>1.3489530000000001</v>
      </c>
    </row>
    <row r="35" spans="1:5" x14ac:dyDescent="0.25">
      <c r="A35" s="1">
        <v>47088</v>
      </c>
      <c r="B35" s="1">
        <v>47058</v>
      </c>
      <c r="C35">
        <v>1.329631</v>
      </c>
      <c r="D35">
        <v>1.3389329999999999</v>
      </c>
      <c r="E35">
        <v>1.348284</v>
      </c>
    </row>
    <row r="36" spans="1:5" x14ac:dyDescent="0.25">
      <c r="A36" s="1">
        <v>47119</v>
      </c>
      <c r="B36" s="1">
        <v>47088</v>
      </c>
      <c r="C36">
        <v>1.329054</v>
      </c>
      <c r="D36">
        <v>1.338195</v>
      </c>
      <c r="E36">
        <v>1.3476140000000001</v>
      </c>
    </row>
    <row r="37" spans="1:5" x14ac:dyDescent="0.25">
      <c r="A37" s="1">
        <v>47150</v>
      </c>
      <c r="B37" s="1">
        <v>47119</v>
      </c>
      <c r="C37">
        <v>1.3284769999999999</v>
      </c>
      <c r="D37">
        <v>1.337456</v>
      </c>
      <c r="E37">
        <v>1.3469450000000001</v>
      </c>
    </row>
    <row r="38" spans="1:5" x14ac:dyDescent="0.25">
      <c r="A38" s="1">
        <v>47178</v>
      </c>
      <c r="B38" s="1">
        <v>47150</v>
      </c>
      <c r="C38">
        <v>1.3279000000000001</v>
      </c>
      <c r="D38">
        <v>1.3367180000000001</v>
      </c>
      <c r="E38">
        <v>1.3462750000000001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4E7F-7092-4416-9631-5EE48CE187CB}">
  <dimension ref="A1:AH83"/>
  <sheetViews>
    <sheetView workbookViewId="0">
      <selection activeCell="B8" sqref="B8"/>
    </sheetView>
  </sheetViews>
  <sheetFormatPr defaultRowHeight="15" x14ac:dyDescent="0.25"/>
  <cols>
    <col min="1" max="1" width="14.28515625" bestFit="1" customWidth="1"/>
    <col min="2" max="3" width="10.85546875" bestFit="1" customWidth="1"/>
    <col min="4" max="4" width="10.5703125" bestFit="1" customWidth="1"/>
    <col min="5" max="6" width="19.28515625" bestFit="1" customWidth="1"/>
    <col min="7" max="7" width="19" bestFit="1" customWidth="1"/>
    <col min="8" max="9" width="14" bestFit="1" customWidth="1"/>
    <col min="10" max="10" width="13.7109375" bestFit="1" customWidth="1"/>
    <col min="13" max="34" width="9.140625" style="2"/>
  </cols>
  <sheetData>
    <row r="1" spans="1:10" x14ac:dyDescent="0.25">
      <c r="A1" t="s">
        <v>18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25">
      <c r="A2" s="1">
        <v>46082</v>
      </c>
      <c r="B2">
        <v>752.75</v>
      </c>
      <c r="C2">
        <v>1329.5</v>
      </c>
      <c r="D2">
        <v>1145</v>
      </c>
      <c r="E2">
        <v>1.3637900000000001</v>
      </c>
      <c r="F2">
        <v>1.3732899999999999</v>
      </c>
      <c r="G2">
        <v>1.3839999999999999</v>
      </c>
      <c r="H2">
        <v>86.778776204564664</v>
      </c>
      <c r="I2">
        <v>154.33550760777683</v>
      </c>
      <c r="J2">
        <v>133.9543533389687</v>
      </c>
    </row>
    <row r="3" spans="1:10" x14ac:dyDescent="0.25">
      <c r="A3" s="1">
        <v>46113</v>
      </c>
      <c r="B3">
        <v>743</v>
      </c>
      <c r="C3">
        <v>1174.75</v>
      </c>
      <c r="D3">
        <v>1050</v>
      </c>
      <c r="E3">
        <v>1.362222</v>
      </c>
      <c r="F3">
        <v>1.371191</v>
      </c>
      <c r="G3">
        <v>1.3821779999999999</v>
      </c>
      <c r="H3">
        <v>85.55629298393913</v>
      </c>
      <c r="I3">
        <v>136.1628594463229</v>
      </c>
      <c r="J3">
        <v>122.67852071005916</v>
      </c>
    </row>
    <row r="4" spans="1:10" x14ac:dyDescent="0.25">
      <c r="A4" s="1">
        <v>46143</v>
      </c>
      <c r="B4">
        <v>727.5</v>
      </c>
      <c r="C4">
        <v>1034.5</v>
      </c>
      <c r="D4">
        <v>991.5</v>
      </c>
      <c r="E4">
        <v>1.360398</v>
      </c>
      <c r="F4">
        <v>1.369267</v>
      </c>
      <c r="G4">
        <v>1.3801859999999999</v>
      </c>
      <c r="H4">
        <v>83.659302197802191</v>
      </c>
      <c r="I4">
        <v>119.73852168216398</v>
      </c>
      <c r="J4">
        <v>115.67662037193575</v>
      </c>
    </row>
    <row r="5" spans="1:10" x14ac:dyDescent="0.25">
      <c r="A5" s="1">
        <v>46174</v>
      </c>
      <c r="B5">
        <v>714</v>
      </c>
      <c r="C5">
        <v>952.5</v>
      </c>
      <c r="D5">
        <v>953.25</v>
      </c>
      <c r="E5">
        <v>1.358765</v>
      </c>
      <c r="F5">
        <v>1.3675660000000001</v>
      </c>
      <c r="G5">
        <v>1.3785099999999999</v>
      </c>
      <c r="H5">
        <v>82.008301775147928</v>
      </c>
      <c r="I5">
        <v>110.11044928148776</v>
      </c>
      <c r="J5">
        <v>111.0790073964497</v>
      </c>
    </row>
    <row r="6" spans="1:10" x14ac:dyDescent="0.25">
      <c r="A6" s="1">
        <v>46204</v>
      </c>
      <c r="B6">
        <v>704.5</v>
      </c>
      <c r="C6">
        <v>913.5</v>
      </c>
      <c r="D6">
        <v>927.75</v>
      </c>
      <c r="E6">
        <v>1.3573949999999999</v>
      </c>
      <c r="F6">
        <v>1.362484</v>
      </c>
      <c r="G6">
        <v>1.3766970000000001</v>
      </c>
      <c r="H6">
        <v>80.835568681318676</v>
      </c>
      <c r="I6">
        <v>105.20956331360946</v>
      </c>
      <c r="J6">
        <v>107.96539659763314</v>
      </c>
    </row>
    <row r="7" spans="1:10" x14ac:dyDescent="0.25">
      <c r="A7" s="1">
        <v>46235</v>
      </c>
      <c r="B7">
        <v>697.5</v>
      </c>
      <c r="C7">
        <v>892.5</v>
      </c>
      <c r="D7">
        <v>908.25</v>
      </c>
      <c r="E7">
        <v>1.3555090000000001</v>
      </c>
      <c r="F7">
        <v>1.3581490000000001</v>
      </c>
      <c r="G7">
        <v>1.3749119999999999</v>
      </c>
      <c r="H7">
        <v>79.921177303465768</v>
      </c>
      <c r="I7">
        <v>102.46390384615385</v>
      </c>
      <c r="J7">
        <v>105.5590721893491</v>
      </c>
    </row>
    <row r="8" spans="1:10" x14ac:dyDescent="0.25">
      <c r="A8" s="1">
        <v>46266</v>
      </c>
      <c r="B8">
        <v>693</v>
      </c>
      <c r="C8">
        <v>878.5</v>
      </c>
      <c r="D8">
        <v>881.25</v>
      </c>
      <c r="E8">
        <v>1.3538300000000001</v>
      </c>
      <c r="F8">
        <v>1.362603</v>
      </c>
      <c r="G8">
        <v>1.3734310000000001</v>
      </c>
      <c r="H8">
        <v>79.307201183431957</v>
      </c>
      <c r="I8">
        <v>101.18738254437871</v>
      </c>
      <c r="J8">
        <v>102.31074122992393</v>
      </c>
    </row>
    <row r="9" spans="1:10" x14ac:dyDescent="0.25">
      <c r="A9" s="1">
        <v>46296</v>
      </c>
      <c r="B9">
        <v>690</v>
      </c>
      <c r="C9">
        <v>855.5</v>
      </c>
      <c r="D9">
        <v>852.75</v>
      </c>
      <c r="E9">
        <v>1.3523400000000001</v>
      </c>
      <c r="F9">
        <v>1.361181</v>
      </c>
      <c r="G9">
        <v>1.37188</v>
      </c>
      <c r="H9">
        <v>78.876973795435347</v>
      </c>
      <c r="I9">
        <v>98.435363102282324</v>
      </c>
      <c r="J9">
        <v>98.890166525781908</v>
      </c>
    </row>
    <row r="10" spans="1:10" x14ac:dyDescent="0.25">
      <c r="A10" s="1">
        <v>46327</v>
      </c>
      <c r="B10">
        <v>683</v>
      </c>
      <c r="C10">
        <v>831.75</v>
      </c>
      <c r="D10">
        <v>837.75</v>
      </c>
      <c r="E10">
        <v>1.35094</v>
      </c>
      <c r="F10">
        <v>1.359931</v>
      </c>
      <c r="G10">
        <v>1.3704559999999999</v>
      </c>
      <c r="H10">
        <v>77.995944209636519</v>
      </c>
      <c r="I10">
        <v>95.614759868977188</v>
      </c>
      <c r="J10">
        <v>97.049832121724435</v>
      </c>
    </row>
    <row r="11" spans="1:10" x14ac:dyDescent="0.25">
      <c r="A11" s="1">
        <v>46357</v>
      </c>
      <c r="B11">
        <v>674.25</v>
      </c>
      <c r="C11">
        <v>819.25</v>
      </c>
      <c r="D11">
        <v>826.25</v>
      </c>
      <c r="E11">
        <v>1.3496699999999999</v>
      </c>
      <c r="F11">
        <v>1.3586510000000001</v>
      </c>
      <c r="G11">
        <v>1.369048</v>
      </c>
      <c r="H11">
        <v>76.92434467455621</v>
      </c>
      <c r="I11">
        <v>94.089165828402358</v>
      </c>
      <c r="J11">
        <v>95.619265426880801</v>
      </c>
    </row>
    <row r="12" spans="1:10" x14ac:dyDescent="0.25">
      <c r="A12" s="1">
        <v>46388</v>
      </c>
      <c r="B12">
        <v>669.75</v>
      </c>
      <c r="C12">
        <v>809.75</v>
      </c>
      <c r="D12">
        <v>814.25</v>
      </c>
      <c r="E12">
        <v>1.34833</v>
      </c>
      <c r="F12">
        <v>1.357281</v>
      </c>
      <c r="G12">
        <v>1.367583</v>
      </c>
      <c r="H12">
        <v>76.335081783601012</v>
      </c>
      <c r="I12">
        <v>92.904335566356707</v>
      </c>
      <c r="J12">
        <v>94.129709023668639</v>
      </c>
    </row>
    <row r="13" spans="1:10" x14ac:dyDescent="0.25">
      <c r="A13" s="1">
        <v>46419</v>
      </c>
      <c r="B13">
        <v>666.5</v>
      </c>
      <c r="C13">
        <v>800</v>
      </c>
      <c r="D13">
        <v>801.25</v>
      </c>
      <c r="E13">
        <v>1.34731</v>
      </c>
      <c r="F13">
        <v>1.355737</v>
      </c>
      <c r="G13">
        <v>1.366541</v>
      </c>
      <c r="H13">
        <v>75.907194843617916</v>
      </c>
      <c r="I13">
        <v>91.681284868977173</v>
      </c>
      <c r="J13">
        <v>92.556295540997453</v>
      </c>
    </row>
    <row r="14" spans="1:10" x14ac:dyDescent="0.25">
      <c r="A14" s="1">
        <v>46447</v>
      </c>
      <c r="B14">
        <v>663.25</v>
      </c>
      <c r="C14">
        <v>789</v>
      </c>
      <c r="D14">
        <v>790.5</v>
      </c>
      <c r="E14">
        <v>1.34629</v>
      </c>
      <c r="F14">
        <v>1.3551709999999999</v>
      </c>
      <c r="G14">
        <v>1.365456</v>
      </c>
      <c r="H14">
        <v>75.479868343195264</v>
      </c>
      <c r="I14">
        <v>90.38291792054099</v>
      </c>
      <c r="J14">
        <v>91.242009129332217</v>
      </c>
    </row>
    <row r="15" spans="1:10" x14ac:dyDescent="0.25">
      <c r="A15" s="1">
        <v>46478</v>
      </c>
      <c r="B15">
        <v>658.75</v>
      </c>
      <c r="C15">
        <v>780</v>
      </c>
      <c r="D15">
        <v>780.25</v>
      </c>
      <c r="E15">
        <v>1.3453079999999999</v>
      </c>
      <c r="F15">
        <v>1.3540449999999999</v>
      </c>
      <c r="G15">
        <v>1.3643259999999999</v>
      </c>
      <c r="H15">
        <v>74.913072273879962</v>
      </c>
      <c r="I15">
        <v>89.277692307692305</v>
      </c>
      <c r="J15">
        <v>89.98439234995773</v>
      </c>
    </row>
    <row r="16" spans="1:10" x14ac:dyDescent="0.25">
      <c r="A16" s="1">
        <v>46508</v>
      </c>
      <c r="B16">
        <v>655</v>
      </c>
      <c r="C16">
        <v>771.75</v>
      </c>
      <c r="D16">
        <v>772.25</v>
      </c>
      <c r="E16">
        <v>1.344327</v>
      </c>
      <c r="F16">
        <v>1.3529199999999999</v>
      </c>
      <c r="G16">
        <v>1.363197</v>
      </c>
      <c r="H16">
        <v>74.432306424344887</v>
      </c>
      <c r="I16">
        <v>88.260017751479282</v>
      </c>
      <c r="J16">
        <v>88.988071280642444</v>
      </c>
    </row>
    <row r="17" spans="1:10" x14ac:dyDescent="0.25">
      <c r="A17" s="1">
        <v>46539</v>
      </c>
      <c r="B17">
        <v>651.75</v>
      </c>
      <c r="C17">
        <v>765.75</v>
      </c>
      <c r="D17">
        <v>765.75</v>
      </c>
      <c r="E17">
        <v>1.343342</v>
      </c>
      <c r="F17">
        <v>1.3519969999999999</v>
      </c>
      <c r="G17">
        <v>1.3622050000000001</v>
      </c>
      <c r="H17">
        <v>74.008719230769231</v>
      </c>
      <c r="I17">
        <v>87.514091525781907</v>
      </c>
      <c r="J17">
        <v>88.174850274725287</v>
      </c>
    </row>
    <row r="18" spans="1:10" x14ac:dyDescent="0.25">
      <c r="A18" s="1">
        <v>46569</v>
      </c>
      <c r="B18">
        <v>650</v>
      </c>
      <c r="C18">
        <v>761.25</v>
      </c>
      <c r="D18">
        <v>760.5</v>
      </c>
      <c r="E18">
        <v>1.342365</v>
      </c>
      <c r="F18">
        <v>1.351216</v>
      </c>
      <c r="G18">
        <v>1.3613029999999999</v>
      </c>
      <c r="H18">
        <v>73.756318681318675</v>
      </c>
      <c r="I18">
        <v>86.949550295857989</v>
      </c>
      <c r="J18">
        <v>87.512335714285712</v>
      </c>
    </row>
    <row r="19" spans="1:10" x14ac:dyDescent="0.25">
      <c r="A19" s="1">
        <v>46600</v>
      </c>
      <c r="B19">
        <v>649</v>
      </c>
      <c r="C19">
        <v>758.25</v>
      </c>
      <c r="D19">
        <v>756.5</v>
      </c>
      <c r="E19">
        <v>1.341388</v>
      </c>
      <c r="F19">
        <v>1.350436</v>
      </c>
      <c r="G19">
        <v>1.3604019999999999</v>
      </c>
      <c r="H19">
        <v>73.589248689771765</v>
      </c>
      <c r="I19">
        <v>86.556897464074382</v>
      </c>
      <c r="J19">
        <v>86.9944305156382</v>
      </c>
    </row>
    <row r="20" spans="1:10" x14ac:dyDescent="0.25">
      <c r="A20" s="1">
        <v>46631</v>
      </c>
      <c r="B20">
        <v>648.5</v>
      </c>
      <c r="C20">
        <v>756.25</v>
      </c>
      <c r="D20">
        <v>750</v>
      </c>
      <c r="E20">
        <v>1.340449</v>
      </c>
      <c r="F20">
        <v>1.3497030000000001</v>
      </c>
      <c r="G20">
        <v>1.3595269999999999</v>
      </c>
      <c r="H20">
        <v>73.481080008453091</v>
      </c>
      <c r="I20">
        <v>86.281732354184285</v>
      </c>
      <c r="J20">
        <v>86.191483516483515</v>
      </c>
    </row>
    <row r="21" spans="1:10" x14ac:dyDescent="0.25">
      <c r="A21" s="1">
        <v>46661</v>
      </c>
      <c r="B21">
        <v>649</v>
      </c>
      <c r="C21">
        <v>751.5</v>
      </c>
      <c r="D21">
        <v>742.75</v>
      </c>
      <c r="E21">
        <v>1.3395090000000001</v>
      </c>
      <c r="F21">
        <v>1.34897</v>
      </c>
      <c r="G21">
        <v>1.3586510000000001</v>
      </c>
      <c r="H21">
        <v>73.48616576500423</v>
      </c>
      <c r="I21">
        <v>85.69323372781065</v>
      </c>
      <c r="J21">
        <v>85.303299260355033</v>
      </c>
    </row>
    <row r="22" spans="1:10" x14ac:dyDescent="0.25">
      <c r="A22" s="1">
        <v>46692</v>
      </c>
      <c r="B22">
        <v>646.75</v>
      </c>
      <c r="C22">
        <v>746</v>
      </c>
      <c r="D22">
        <v>738.75</v>
      </c>
      <c r="E22">
        <v>1.3386070000000001</v>
      </c>
      <c r="F22">
        <v>1.3482860000000001</v>
      </c>
      <c r="G22">
        <v>1.3578030000000001</v>
      </c>
      <c r="H22">
        <v>73.182085989010986</v>
      </c>
      <c r="I22">
        <v>85.022937954353338</v>
      </c>
      <c r="J22">
        <v>84.790952345731199</v>
      </c>
    </row>
    <row r="23" spans="1:10" x14ac:dyDescent="0.25">
      <c r="A23" s="1">
        <v>46722</v>
      </c>
      <c r="B23">
        <v>643.75</v>
      </c>
      <c r="C23">
        <v>742.75</v>
      </c>
      <c r="D23">
        <v>735.75</v>
      </c>
      <c r="E23">
        <v>1.3377049999999999</v>
      </c>
      <c r="F23">
        <v>1.347601</v>
      </c>
      <c r="G23">
        <v>1.356954</v>
      </c>
      <c r="H23">
        <v>72.793541314454771</v>
      </c>
      <c r="I23">
        <v>84.609521787827561</v>
      </c>
      <c r="J23">
        <v>84.393821259509721</v>
      </c>
    </row>
    <row r="24" spans="1:10" x14ac:dyDescent="0.25">
      <c r="A24" s="1">
        <v>46753</v>
      </c>
      <c r="B24">
        <v>642.75</v>
      </c>
      <c r="C24">
        <v>740.5</v>
      </c>
      <c r="D24">
        <v>732.25</v>
      </c>
      <c r="E24">
        <v>1.336803</v>
      </c>
      <c r="F24">
        <v>1.346916</v>
      </c>
      <c r="G24">
        <v>1.3561049999999999</v>
      </c>
      <c r="H24">
        <v>72.631456318681316</v>
      </c>
      <c r="I24">
        <v>84.310337954353344</v>
      </c>
      <c r="J24">
        <v>83.939804416737104</v>
      </c>
    </row>
    <row r="25" spans="1:10" x14ac:dyDescent="0.25">
      <c r="A25" s="1">
        <v>46784</v>
      </c>
      <c r="B25">
        <v>642.75</v>
      </c>
      <c r="C25">
        <v>738</v>
      </c>
      <c r="D25">
        <v>727.25</v>
      </c>
      <c r="E25">
        <v>1.335901</v>
      </c>
      <c r="F25">
        <v>1.3462320000000001</v>
      </c>
      <c r="G25">
        <v>1.3552569999999999</v>
      </c>
      <c r="H25">
        <v>72.582448668639046</v>
      </c>
      <c r="I25">
        <v>83.983027557058321</v>
      </c>
      <c r="J25">
        <v>83.314509995773449</v>
      </c>
    </row>
    <row r="26" spans="1:10" x14ac:dyDescent="0.25">
      <c r="A26" s="1">
        <v>46813</v>
      </c>
      <c r="B26">
        <v>642.25</v>
      </c>
      <c r="C26">
        <v>733.75</v>
      </c>
      <c r="D26">
        <v>723</v>
      </c>
      <c r="E26">
        <v>1.334999</v>
      </c>
      <c r="F26">
        <v>1.345547</v>
      </c>
      <c r="G26">
        <v>1.3544080000000001</v>
      </c>
      <c r="H26">
        <v>72.477016715976333</v>
      </c>
      <c r="I26">
        <v>83.456898668639056</v>
      </c>
      <c r="J26">
        <v>82.77573829247676</v>
      </c>
    </row>
    <row r="27" spans="1:10" x14ac:dyDescent="0.25">
      <c r="A27" s="1">
        <v>46844</v>
      </c>
      <c r="B27">
        <v>640.75</v>
      </c>
      <c r="C27">
        <v>728.75</v>
      </c>
      <c r="D27">
        <v>719.25</v>
      </c>
      <c r="E27">
        <v>1.334247</v>
      </c>
      <c r="F27">
        <v>1.34484</v>
      </c>
      <c r="G27">
        <v>1.35364</v>
      </c>
      <c r="H27">
        <v>72.26701312341504</v>
      </c>
      <c r="I27">
        <v>82.844644970414194</v>
      </c>
      <c r="J27">
        <v>82.299710059171588</v>
      </c>
    </row>
    <row r="28" spans="1:10" x14ac:dyDescent="0.25">
      <c r="A28" s="1">
        <v>46874</v>
      </c>
      <c r="B28">
        <v>639.5</v>
      </c>
      <c r="C28">
        <v>724</v>
      </c>
      <c r="D28">
        <v>716</v>
      </c>
      <c r="E28">
        <v>1.3336699999999999</v>
      </c>
      <c r="F28">
        <v>1.344101</v>
      </c>
      <c r="G28">
        <v>1.3529709999999999</v>
      </c>
      <c r="H28">
        <v>72.094840659340647</v>
      </c>
      <c r="I28">
        <v>82.259435672020288</v>
      </c>
      <c r="J28">
        <v>81.887340321217238</v>
      </c>
    </row>
    <row r="29" spans="1:10" x14ac:dyDescent="0.25">
      <c r="A29" s="1">
        <v>46905</v>
      </c>
      <c r="B29">
        <v>638.25</v>
      </c>
      <c r="C29">
        <v>721.25</v>
      </c>
      <c r="D29">
        <v>713</v>
      </c>
      <c r="E29">
        <v>1.3330930000000001</v>
      </c>
      <c r="F29">
        <v>1.3433630000000001</v>
      </c>
      <c r="G29">
        <v>1.352301</v>
      </c>
      <c r="H29">
        <v>71.922790131022822</v>
      </c>
      <c r="I29">
        <v>81.901991863905323</v>
      </c>
      <c r="J29">
        <v>81.503855705832621</v>
      </c>
    </row>
    <row r="30" spans="1:10" x14ac:dyDescent="0.25">
      <c r="A30" s="1">
        <v>46935</v>
      </c>
      <c r="B30">
        <v>637.75</v>
      </c>
      <c r="C30">
        <v>717.75</v>
      </c>
      <c r="D30">
        <v>710.75</v>
      </c>
      <c r="E30">
        <v>1.332516</v>
      </c>
      <c r="F30">
        <v>1.342625</v>
      </c>
      <c r="G30">
        <v>1.3516319999999999</v>
      </c>
      <c r="H30">
        <v>71.835340574809806</v>
      </c>
      <c r="I30">
        <v>81.459771238377002</v>
      </c>
      <c r="J30">
        <v>81.206461876584953</v>
      </c>
    </row>
    <row r="31" spans="1:10" x14ac:dyDescent="0.25">
      <c r="A31" s="1">
        <v>46966</v>
      </c>
      <c r="B31">
        <v>637.5</v>
      </c>
      <c r="C31">
        <v>715.75</v>
      </c>
      <c r="D31">
        <v>709</v>
      </c>
      <c r="E31">
        <v>1.331939</v>
      </c>
      <c r="F31">
        <v>1.3418859999999999</v>
      </c>
      <c r="G31">
        <v>1.350962</v>
      </c>
      <c r="H31">
        <v>71.776087278106502</v>
      </c>
      <c r="I31">
        <v>81.188073076923061</v>
      </c>
      <c r="J31">
        <v>80.966361622992395</v>
      </c>
    </row>
    <row r="32" spans="1:10" x14ac:dyDescent="0.25">
      <c r="A32" s="1">
        <v>46997</v>
      </c>
      <c r="B32">
        <v>637.75</v>
      </c>
      <c r="C32">
        <v>713.75</v>
      </c>
      <c r="D32">
        <v>704</v>
      </c>
      <c r="E32">
        <v>1.3313619999999999</v>
      </c>
      <c r="F32">
        <v>1.341148</v>
      </c>
      <c r="G32">
        <v>1.350293</v>
      </c>
      <c r="H32">
        <v>71.773128951817412</v>
      </c>
      <c r="I32">
        <v>80.916685122569731</v>
      </c>
      <c r="J32">
        <v>80.355559763313607</v>
      </c>
    </row>
    <row r="33" spans="1:10" x14ac:dyDescent="0.25">
      <c r="A33" s="1">
        <v>47027</v>
      </c>
      <c r="B33">
        <v>638.5</v>
      </c>
      <c r="C33">
        <v>709.5</v>
      </c>
      <c r="D33">
        <v>698.75</v>
      </c>
      <c r="E33">
        <v>1.3307850000000001</v>
      </c>
      <c r="F33">
        <v>1.3404100000000001</v>
      </c>
      <c r="G33">
        <v>1.349623</v>
      </c>
      <c r="H33">
        <v>71.826392434488596</v>
      </c>
      <c r="I33">
        <v>80.390608199492817</v>
      </c>
      <c r="J33">
        <v>79.716743131868128</v>
      </c>
    </row>
    <row r="34" spans="1:10" x14ac:dyDescent="0.25">
      <c r="A34" s="1">
        <v>47058</v>
      </c>
      <c r="B34">
        <v>636.5</v>
      </c>
      <c r="C34">
        <v>704.5</v>
      </c>
      <c r="D34">
        <v>697.5</v>
      </c>
      <c r="E34">
        <v>1.3302080000000001</v>
      </c>
      <c r="F34">
        <v>1.3396710000000001</v>
      </c>
      <c r="G34">
        <v>1.3489530000000001</v>
      </c>
      <c r="H34">
        <v>71.570362806424356</v>
      </c>
      <c r="I34">
        <v>79.78006927303467</v>
      </c>
      <c r="J34">
        <v>79.534633770076084</v>
      </c>
    </row>
    <row r="35" spans="1:10" x14ac:dyDescent="0.25">
      <c r="A35" s="1">
        <v>47088</v>
      </c>
      <c r="B35">
        <v>633.75</v>
      </c>
      <c r="C35">
        <v>703.75</v>
      </c>
      <c r="D35">
        <v>695</v>
      </c>
      <c r="E35">
        <v>1.329631</v>
      </c>
      <c r="F35">
        <v>1.3389329999999999</v>
      </c>
      <c r="G35">
        <v>1.348284</v>
      </c>
      <c r="H35">
        <v>71.230232142857133</v>
      </c>
      <c r="I35">
        <v>79.651234044801342</v>
      </c>
      <c r="J35">
        <v>79.21026035502959</v>
      </c>
    </row>
    <row r="36" spans="1:10" x14ac:dyDescent="0.25">
      <c r="A36" s="1">
        <v>47119</v>
      </c>
      <c r="B36">
        <v>633.5</v>
      </c>
      <c r="C36">
        <v>703.25</v>
      </c>
      <c r="D36">
        <v>693</v>
      </c>
      <c r="E36">
        <v>1.329054</v>
      </c>
      <c r="F36">
        <v>1.338195</v>
      </c>
      <c r="G36">
        <v>1.3476140000000001</v>
      </c>
      <c r="H36">
        <v>71.171234911242593</v>
      </c>
      <c r="I36">
        <v>79.550772083685544</v>
      </c>
      <c r="J36">
        <v>78.943068639053266</v>
      </c>
    </row>
    <row r="37" spans="1:10" x14ac:dyDescent="0.25">
      <c r="A37" s="1">
        <v>47150</v>
      </c>
      <c r="B37">
        <v>633.75</v>
      </c>
      <c r="C37">
        <v>702.75</v>
      </c>
      <c r="D37">
        <v>690.75</v>
      </c>
      <c r="E37">
        <v>1.3284769999999999</v>
      </c>
      <c r="F37">
        <v>1.337456</v>
      </c>
      <c r="G37">
        <v>1.3469450000000001</v>
      </c>
      <c r="H37">
        <v>71.168410714285713</v>
      </c>
      <c r="I37">
        <v>79.450313102282337</v>
      </c>
      <c r="J37">
        <v>78.64769727387997</v>
      </c>
    </row>
    <row r="38" spans="1:10" x14ac:dyDescent="0.25">
      <c r="A38" s="1">
        <v>47178</v>
      </c>
      <c r="B38">
        <v>634</v>
      </c>
      <c r="C38">
        <v>702</v>
      </c>
      <c r="D38">
        <v>688.75</v>
      </c>
      <c r="E38">
        <v>1.3279000000000001</v>
      </c>
      <c r="F38">
        <v>1.3367180000000001</v>
      </c>
      <c r="G38">
        <v>1.3462750000000001</v>
      </c>
      <c r="H38">
        <v>71.16556213017752</v>
      </c>
      <c r="I38">
        <v>79.321727472527471</v>
      </c>
      <c r="J38">
        <v>78.380972633136096</v>
      </c>
    </row>
    <row r="39" spans="1:10" x14ac:dyDescent="0.25">
      <c r="A39" s="1">
        <v>47209</v>
      </c>
      <c r="B39">
        <v>634.25</v>
      </c>
      <c r="C39">
        <v>701.25</v>
      </c>
      <c r="D39">
        <v>687</v>
      </c>
    </row>
    <row r="40" spans="1:10" x14ac:dyDescent="0.25">
      <c r="A40" s="1">
        <v>47239</v>
      </c>
      <c r="B40">
        <v>634.5</v>
      </c>
      <c r="C40">
        <v>700.25</v>
      </c>
      <c r="D40">
        <v>687.25</v>
      </c>
    </row>
    <row r="41" spans="1:10" x14ac:dyDescent="0.25">
      <c r="A41" s="1">
        <v>47270</v>
      </c>
      <c r="B41">
        <v>634</v>
      </c>
      <c r="C41">
        <v>699.75</v>
      </c>
      <c r="D41">
        <v>687.5</v>
      </c>
    </row>
    <row r="42" spans="1:10" x14ac:dyDescent="0.25">
      <c r="A42" s="1">
        <v>47300</v>
      </c>
      <c r="B42">
        <v>634.25</v>
      </c>
      <c r="C42">
        <v>699.25</v>
      </c>
      <c r="D42">
        <v>687.75</v>
      </c>
    </row>
    <row r="43" spans="1:10" x14ac:dyDescent="0.25">
      <c r="A43" s="1">
        <v>47331</v>
      </c>
      <c r="B43">
        <v>634.5</v>
      </c>
      <c r="C43">
        <v>698.5</v>
      </c>
      <c r="D43">
        <v>688</v>
      </c>
    </row>
    <row r="44" spans="1:10" x14ac:dyDescent="0.25">
      <c r="A44" s="1">
        <v>47362</v>
      </c>
      <c r="B44">
        <v>635</v>
      </c>
      <c r="C44">
        <v>697.5</v>
      </c>
      <c r="D44">
        <v>688.25</v>
      </c>
    </row>
    <row r="45" spans="1:10" x14ac:dyDescent="0.25">
      <c r="A45" s="1">
        <v>47392</v>
      </c>
      <c r="B45">
        <v>635.25</v>
      </c>
      <c r="C45">
        <v>696</v>
      </c>
      <c r="D45">
        <v>687.5</v>
      </c>
    </row>
    <row r="46" spans="1:10" x14ac:dyDescent="0.25">
      <c r="A46" s="1">
        <v>47423</v>
      </c>
      <c r="B46">
        <v>635</v>
      </c>
      <c r="C46">
        <v>693.75</v>
      </c>
      <c r="D46">
        <v>687.75</v>
      </c>
    </row>
    <row r="47" spans="1:10" x14ac:dyDescent="0.25">
      <c r="A47" s="1">
        <v>47453</v>
      </c>
      <c r="B47">
        <v>633.5</v>
      </c>
      <c r="C47">
        <v>694</v>
      </c>
      <c r="D47">
        <v>688.25</v>
      </c>
    </row>
    <row r="48" spans="1:10" x14ac:dyDescent="0.25">
      <c r="A48" s="1">
        <v>47484</v>
      </c>
      <c r="B48">
        <v>633.75</v>
      </c>
      <c r="C48">
        <v>694.5</v>
      </c>
      <c r="D48">
        <v>688.75</v>
      </c>
    </row>
    <row r="49" spans="1:4" x14ac:dyDescent="0.25">
      <c r="A49" s="1">
        <v>47515</v>
      </c>
      <c r="B49">
        <v>634.25</v>
      </c>
      <c r="C49">
        <v>695</v>
      </c>
      <c r="D49">
        <v>689</v>
      </c>
    </row>
    <row r="50" spans="1:4" x14ac:dyDescent="0.25">
      <c r="A50" s="1">
        <v>47543</v>
      </c>
      <c r="B50">
        <v>634.5</v>
      </c>
      <c r="C50">
        <v>695.25</v>
      </c>
      <c r="D50">
        <v>689.25</v>
      </c>
    </row>
    <row r="51" spans="1:4" x14ac:dyDescent="0.25">
      <c r="A51" s="1">
        <v>47574</v>
      </c>
      <c r="B51">
        <v>634.75</v>
      </c>
      <c r="C51">
        <v>695.5</v>
      </c>
      <c r="D51">
        <v>689.5</v>
      </c>
    </row>
    <row r="52" spans="1:4" x14ac:dyDescent="0.25">
      <c r="A52" s="1">
        <v>47604</v>
      </c>
      <c r="B52">
        <v>635</v>
      </c>
      <c r="C52">
        <v>695.75</v>
      </c>
      <c r="D52">
        <v>689.75</v>
      </c>
    </row>
    <row r="53" spans="1:4" x14ac:dyDescent="0.25">
      <c r="A53" s="1">
        <v>47635</v>
      </c>
      <c r="B53">
        <v>635.25</v>
      </c>
      <c r="C53">
        <v>696</v>
      </c>
      <c r="D53">
        <v>690</v>
      </c>
    </row>
    <row r="54" spans="1:4" x14ac:dyDescent="0.25">
      <c r="A54" s="1">
        <v>47665</v>
      </c>
      <c r="B54">
        <v>635.5</v>
      </c>
      <c r="C54">
        <v>696.25</v>
      </c>
      <c r="D54">
        <v>690.25</v>
      </c>
    </row>
    <row r="55" spans="1:4" x14ac:dyDescent="0.25">
      <c r="A55" s="1">
        <v>47696</v>
      </c>
      <c r="B55">
        <v>635.75</v>
      </c>
      <c r="C55">
        <v>696.25</v>
      </c>
      <c r="D55">
        <v>691</v>
      </c>
    </row>
    <row r="56" spans="1:4" x14ac:dyDescent="0.25">
      <c r="A56" s="1">
        <v>47727</v>
      </c>
      <c r="B56">
        <v>635.75</v>
      </c>
      <c r="C56">
        <v>696.75</v>
      </c>
      <c r="D56">
        <v>691.25</v>
      </c>
    </row>
    <row r="57" spans="1:4" x14ac:dyDescent="0.25">
      <c r="A57" s="1">
        <v>47757</v>
      </c>
      <c r="B57">
        <v>636.25</v>
      </c>
      <c r="C57">
        <v>697</v>
      </c>
      <c r="D57">
        <v>690.75</v>
      </c>
    </row>
    <row r="58" spans="1:4" x14ac:dyDescent="0.25">
      <c r="A58" s="1">
        <v>47788</v>
      </c>
      <c r="B58">
        <v>636.5</v>
      </c>
      <c r="C58">
        <v>696.5</v>
      </c>
      <c r="D58">
        <v>691</v>
      </c>
    </row>
    <row r="59" spans="1:4" x14ac:dyDescent="0.25">
      <c r="A59" s="1">
        <v>47818</v>
      </c>
      <c r="B59">
        <v>636</v>
      </c>
      <c r="C59">
        <v>696.75</v>
      </c>
      <c r="D59">
        <v>691.5</v>
      </c>
    </row>
    <row r="60" spans="1:4" x14ac:dyDescent="0.25">
      <c r="A60" s="1">
        <v>47849</v>
      </c>
      <c r="B60">
        <v>636.25</v>
      </c>
      <c r="C60">
        <v>697.25</v>
      </c>
      <c r="D60">
        <v>692</v>
      </c>
    </row>
    <row r="61" spans="1:4" x14ac:dyDescent="0.25">
      <c r="A61" s="1">
        <v>47880</v>
      </c>
      <c r="B61">
        <v>636.75</v>
      </c>
      <c r="C61">
        <v>697.75</v>
      </c>
      <c r="D61">
        <v>692.25</v>
      </c>
    </row>
    <row r="62" spans="1:4" x14ac:dyDescent="0.25">
      <c r="A62" s="1">
        <v>47908</v>
      </c>
      <c r="B62">
        <v>637.25</v>
      </c>
      <c r="C62">
        <v>698</v>
      </c>
      <c r="D62">
        <v>692.5</v>
      </c>
    </row>
    <row r="63" spans="1:4" x14ac:dyDescent="0.25">
      <c r="A63" s="1">
        <v>47939</v>
      </c>
      <c r="B63">
        <v>637.5</v>
      </c>
      <c r="C63">
        <v>698.25</v>
      </c>
      <c r="D63">
        <v>692.75</v>
      </c>
    </row>
    <row r="64" spans="1:4" x14ac:dyDescent="0.25">
      <c r="A64" s="1">
        <v>47969</v>
      </c>
      <c r="B64">
        <v>637.75</v>
      </c>
      <c r="C64">
        <v>698.5</v>
      </c>
      <c r="D64">
        <v>693</v>
      </c>
    </row>
    <row r="65" spans="1:4" x14ac:dyDescent="0.25">
      <c r="A65" s="1">
        <v>48000</v>
      </c>
      <c r="B65">
        <v>638</v>
      </c>
      <c r="C65">
        <v>698.75</v>
      </c>
      <c r="D65">
        <v>693.25</v>
      </c>
    </row>
    <row r="66" spans="1:4" x14ac:dyDescent="0.25">
      <c r="A66" s="1">
        <v>48030</v>
      </c>
      <c r="B66">
        <v>638.25</v>
      </c>
      <c r="C66">
        <v>699</v>
      </c>
      <c r="D66">
        <v>693.75</v>
      </c>
    </row>
    <row r="67" spans="1:4" x14ac:dyDescent="0.25">
      <c r="A67" s="1">
        <v>48061</v>
      </c>
      <c r="B67">
        <v>638.5</v>
      </c>
      <c r="C67">
        <v>699.5</v>
      </c>
      <c r="D67">
        <v>694.25</v>
      </c>
    </row>
    <row r="68" spans="1:4" x14ac:dyDescent="0.25">
      <c r="A68" s="1">
        <v>48092</v>
      </c>
      <c r="B68">
        <v>639</v>
      </c>
      <c r="C68">
        <v>700</v>
      </c>
      <c r="D68">
        <v>694.5</v>
      </c>
    </row>
    <row r="69" spans="1:4" x14ac:dyDescent="0.25">
      <c r="A69" s="1">
        <v>48122</v>
      </c>
      <c r="B69">
        <v>639.5</v>
      </c>
      <c r="C69">
        <v>700.25</v>
      </c>
      <c r="D69">
        <v>694</v>
      </c>
    </row>
    <row r="70" spans="1:4" x14ac:dyDescent="0.25">
      <c r="A70" s="1">
        <v>48153</v>
      </c>
      <c r="B70">
        <v>639.75</v>
      </c>
      <c r="C70">
        <v>699.75</v>
      </c>
      <c r="D70">
        <v>694.25</v>
      </c>
    </row>
    <row r="71" spans="1:4" x14ac:dyDescent="0.25">
      <c r="A71" s="1">
        <v>48183</v>
      </c>
      <c r="B71">
        <v>639.25</v>
      </c>
      <c r="C71">
        <v>700</v>
      </c>
      <c r="D71">
        <v>694.75</v>
      </c>
    </row>
    <row r="72" spans="1:4" x14ac:dyDescent="0.25">
      <c r="A72" s="1">
        <v>48214</v>
      </c>
      <c r="B72">
        <v>639.5</v>
      </c>
      <c r="C72">
        <v>700.5</v>
      </c>
      <c r="D72">
        <v>695.25</v>
      </c>
    </row>
    <row r="73" spans="1:4" x14ac:dyDescent="0.25">
      <c r="A73" s="1">
        <v>48245</v>
      </c>
      <c r="B73">
        <v>639.75</v>
      </c>
      <c r="C73">
        <v>701</v>
      </c>
      <c r="D73">
        <v>695.5</v>
      </c>
    </row>
    <row r="74" spans="1:4" x14ac:dyDescent="0.25">
      <c r="A74" s="1">
        <v>48274</v>
      </c>
      <c r="B74">
        <v>640</v>
      </c>
      <c r="C74">
        <v>701.25</v>
      </c>
      <c r="D74">
        <v>695.75</v>
      </c>
    </row>
    <row r="75" spans="1:4" x14ac:dyDescent="0.25">
      <c r="A75" s="1">
        <v>48305</v>
      </c>
      <c r="B75">
        <v>640.25</v>
      </c>
      <c r="C75">
        <v>701.5</v>
      </c>
      <c r="D75">
        <v>696</v>
      </c>
    </row>
    <row r="76" spans="1:4" x14ac:dyDescent="0.25">
      <c r="A76" s="1">
        <v>48335</v>
      </c>
      <c r="B76">
        <v>640.5</v>
      </c>
      <c r="C76">
        <v>701.75</v>
      </c>
      <c r="D76">
        <v>696.25</v>
      </c>
    </row>
    <row r="77" spans="1:4" x14ac:dyDescent="0.25">
      <c r="A77" s="1">
        <v>48366</v>
      </c>
      <c r="B77">
        <v>640.75</v>
      </c>
      <c r="C77">
        <v>702</v>
      </c>
      <c r="D77">
        <v>696.5</v>
      </c>
    </row>
    <row r="78" spans="1:4" x14ac:dyDescent="0.25">
      <c r="A78" s="1">
        <v>48396</v>
      </c>
      <c r="B78">
        <v>641</v>
      </c>
      <c r="C78">
        <v>702.25</v>
      </c>
      <c r="D78">
        <v>697</v>
      </c>
    </row>
    <row r="79" spans="1:4" x14ac:dyDescent="0.25">
      <c r="A79" s="1">
        <v>48427</v>
      </c>
      <c r="B79">
        <v>641.25</v>
      </c>
      <c r="C79">
        <v>702.75</v>
      </c>
      <c r="D79">
        <v>697.5</v>
      </c>
    </row>
    <row r="80" spans="1:4" x14ac:dyDescent="0.25">
      <c r="A80" s="1">
        <v>48458</v>
      </c>
      <c r="B80">
        <v>641.75</v>
      </c>
      <c r="C80">
        <v>703.25</v>
      </c>
      <c r="D80">
        <v>697.75</v>
      </c>
    </row>
    <row r="81" spans="1:4" x14ac:dyDescent="0.25">
      <c r="A81" s="1">
        <v>48488</v>
      </c>
      <c r="B81">
        <v>642.25</v>
      </c>
      <c r="C81">
        <v>703.5</v>
      </c>
      <c r="D81">
        <v>697.25</v>
      </c>
    </row>
    <row r="82" spans="1:4" x14ac:dyDescent="0.25">
      <c r="A82" s="1">
        <v>48519</v>
      </c>
      <c r="B82">
        <v>642.5</v>
      </c>
      <c r="C82">
        <v>703</v>
      </c>
    </row>
    <row r="83" spans="1:4" x14ac:dyDescent="0.25">
      <c r="A83" s="1">
        <v>48549</v>
      </c>
      <c r="B83">
        <v>642.25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7003-D4F6-4F36-8E51-9AB850445ABC}">
  <dimension ref="A1:BE70"/>
  <sheetViews>
    <sheetView topLeftCell="U1" workbookViewId="0">
      <selection sqref="A1:K70"/>
    </sheetView>
  </sheetViews>
  <sheetFormatPr defaultRowHeight="15" x14ac:dyDescent="0.25"/>
  <cols>
    <col min="1" max="1" width="17.28515625" bestFit="1" customWidth="1"/>
    <col min="2" max="2" width="10.42578125" bestFit="1" customWidth="1"/>
    <col min="3" max="3" width="13.7109375" bestFit="1" customWidth="1"/>
    <col min="4" max="4" width="18.28515625" bestFit="1" customWidth="1"/>
    <col min="5" max="5" width="14.28515625" bestFit="1" customWidth="1"/>
    <col min="6" max="6" width="16.85546875" bestFit="1" customWidth="1"/>
    <col min="7" max="7" width="13.42578125" bestFit="1" customWidth="1"/>
    <col min="8" max="8" width="21.42578125" bestFit="1" customWidth="1"/>
    <col min="9" max="9" width="19" bestFit="1" customWidth="1"/>
    <col min="10" max="10" width="15.7109375" bestFit="1" customWidth="1"/>
    <col min="11" max="11" width="23.7109375" bestFit="1" customWidth="1"/>
    <col min="13" max="57" width="9.140625" style="2"/>
  </cols>
  <sheetData>
    <row r="1" spans="1:11" x14ac:dyDescent="0.25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25">
      <c r="A2" s="1">
        <v>46024</v>
      </c>
      <c r="B2">
        <v>679.25</v>
      </c>
      <c r="C2">
        <v>624.25</v>
      </c>
      <c r="D2">
        <v>657.8767689629392</v>
      </c>
      <c r="E2">
        <v>1.37235</v>
      </c>
      <c r="F2">
        <v>615.6</v>
      </c>
      <c r="G2">
        <v>654.1</v>
      </c>
      <c r="H2">
        <v>661.00192581516933</v>
      </c>
      <c r="I2">
        <v>8.6499999999999773</v>
      </c>
      <c r="J2">
        <v>25.149999999999977</v>
      </c>
      <c r="K2">
        <v>-3.1251568522301341</v>
      </c>
    </row>
    <row r="3" spans="1:11" x14ac:dyDescent="0.25">
      <c r="A3" s="1">
        <v>46027</v>
      </c>
      <c r="B3">
        <v>693</v>
      </c>
      <c r="C3">
        <v>636.5</v>
      </c>
      <c r="D3">
        <v>668.09603186973141</v>
      </c>
      <c r="E3">
        <v>1.3748499999999999</v>
      </c>
      <c r="F3">
        <v>626.85</v>
      </c>
      <c r="G3">
        <v>669.1</v>
      </c>
      <c r="H3">
        <v>669.6586102958463</v>
      </c>
      <c r="I3">
        <v>9.6499999999999773</v>
      </c>
      <c r="J3">
        <v>23.899999999999977</v>
      </c>
      <c r="K3">
        <v>-1.5625784261148965</v>
      </c>
    </row>
    <row r="4" spans="1:11" x14ac:dyDescent="0.25">
      <c r="A4" s="1">
        <v>46028</v>
      </c>
      <c r="B4">
        <v>693.75</v>
      </c>
      <c r="C4">
        <v>628.75</v>
      </c>
      <c r="D4">
        <v>647.84501546728086</v>
      </c>
      <c r="E4">
        <v>1.3785000000000001</v>
      </c>
      <c r="F4">
        <v>619.70000000000005</v>
      </c>
      <c r="G4">
        <v>665.45</v>
      </c>
      <c r="H4">
        <v>650.97017231951088</v>
      </c>
      <c r="I4">
        <v>9.0499999999999545</v>
      </c>
      <c r="J4">
        <v>28.299999999999955</v>
      </c>
      <c r="K4">
        <v>-3.1251568522300204</v>
      </c>
    </row>
    <row r="5" spans="1:11" x14ac:dyDescent="0.25">
      <c r="A5" s="1">
        <v>46029</v>
      </c>
      <c r="B5">
        <v>685</v>
      </c>
      <c r="C5">
        <v>615.5</v>
      </c>
      <c r="D5">
        <v>638.84456373285843</v>
      </c>
      <c r="E5">
        <v>1.3812500000000001</v>
      </c>
      <c r="F5">
        <v>607.75</v>
      </c>
      <c r="G5">
        <v>658</v>
      </c>
      <c r="H5">
        <v>642.7510097981459</v>
      </c>
      <c r="I5">
        <v>7.75</v>
      </c>
      <c r="J5">
        <v>27</v>
      </c>
      <c r="K5">
        <v>-3.9064460652874686</v>
      </c>
    </row>
    <row r="6" spans="1:11" x14ac:dyDescent="0.25">
      <c r="A6" s="1">
        <v>46030</v>
      </c>
      <c r="B6">
        <v>691</v>
      </c>
      <c r="C6">
        <v>625.25</v>
      </c>
      <c r="E6">
        <v>1.38595</v>
      </c>
      <c r="F6">
        <v>616.25</v>
      </c>
      <c r="G6">
        <v>665</v>
      </c>
      <c r="H6">
        <v>662.37699483015058</v>
      </c>
      <c r="I6">
        <v>9</v>
      </c>
      <c r="J6">
        <v>26</v>
      </c>
    </row>
    <row r="7" spans="1:11" x14ac:dyDescent="0.25">
      <c r="A7" s="1">
        <v>46031</v>
      </c>
      <c r="B7">
        <v>713</v>
      </c>
      <c r="C7">
        <v>645.5</v>
      </c>
      <c r="D7">
        <v>664.09583109887694</v>
      </c>
      <c r="E7">
        <v>1.3889</v>
      </c>
      <c r="F7">
        <v>638.45000000000005</v>
      </c>
      <c r="G7">
        <v>686.2</v>
      </c>
      <c r="H7">
        <v>667.22098795110696</v>
      </c>
      <c r="I7">
        <v>7.0499999999999545</v>
      </c>
      <c r="J7">
        <v>26.799999999999955</v>
      </c>
      <c r="K7">
        <v>-3.1251568522300204</v>
      </c>
    </row>
    <row r="8" spans="1:11" x14ac:dyDescent="0.25">
      <c r="A8" s="1">
        <v>46034</v>
      </c>
      <c r="B8">
        <v>712.75</v>
      </c>
      <c r="C8">
        <v>638.25</v>
      </c>
      <c r="E8">
        <v>1.3873500000000001</v>
      </c>
      <c r="F8">
        <v>634.25</v>
      </c>
      <c r="G8">
        <v>686</v>
      </c>
      <c r="H8">
        <v>673.28379224443313</v>
      </c>
      <c r="I8">
        <v>4</v>
      </c>
      <c r="J8">
        <v>26.75</v>
      </c>
    </row>
    <row r="9" spans="1:11" x14ac:dyDescent="0.25">
      <c r="A9" s="1">
        <v>46035</v>
      </c>
      <c r="B9">
        <v>743.25</v>
      </c>
      <c r="C9">
        <v>666.75</v>
      </c>
      <c r="D9">
        <v>695.62866373787779</v>
      </c>
      <c r="E9">
        <v>1.38795</v>
      </c>
      <c r="F9">
        <v>661.65</v>
      </c>
      <c r="G9">
        <v>718.9</v>
      </c>
      <c r="H9">
        <v>699.53510980316526</v>
      </c>
      <c r="I9">
        <v>5.1000000000000227</v>
      </c>
      <c r="J9">
        <v>24.350000000000023</v>
      </c>
      <c r="K9">
        <v>-3.9064460652874686</v>
      </c>
    </row>
    <row r="10" spans="1:11" x14ac:dyDescent="0.25">
      <c r="A10" s="1">
        <v>46036</v>
      </c>
      <c r="B10">
        <v>743.75</v>
      </c>
      <c r="C10">
        <v>671.75</v>
      </c>
      <c r="D10">
        <v>710.00438525813581</v>
      </c>
      <c r="E10">
        <v>1.38805</v>
      </c>
      <c r="F10">
        <v>666.4</v>
      </c>
      <c r="G10">
        <v>721.15</v>
      </c>
      <c r="H10">
        <v>713.12954211036572</v>
      </c>
      <c r="I10">
        <v>5.3500000000000227</v>
      </c>
      <c r="J10">
        <v>22.600000000000023</v>
      </c>
      <c r="K10">
        <v>-3.1251568522299067</v>
      </c>
    </row>
    <row r="11" spans="1:11" x14ac:dyDescent="0.25">
      <c r="A11" s="1">
        <v>46037</v>
      </c>
      <c r="B11">
        <v>719.75</v>
      </c>
      <c r="C11">
        <v>653.75</v>
      </c>
      <c r="D11">
        <v>684.65936318655054</v>
      </c>
      <c r="E11">
        <v>1.3892500000000001</v>
      </c>
      <c r="F11">
        <v>648.15</v>
      </c>
      <c r="G11">
        <v>694.4</v>
      </c>
      <c r="H11">
        <v>690.12838767795301</v>
      </c>
      <c r="I11">
        <v>5.6000000000000227</v>
      </c>
      <c r="J11">
        <v>25.350000000000023</v>
      </c>
      <c r="K11">
        <v>-5.4690244914024788</v>
      </c>
    </row>
    <row r="12" spans="1:11" x14ac:dyDescent="0.25">
      <c r="A12" s="1">
        <v>46038</v>
      </c>
      <c r="B12">
        <v>731.75</v>
      </c>
      <c r="C12">
        <v>666.75</v>
      </c>
      <c r="D12">
        <v>693.81607276358432</v>
      </c>
      <c r="E12">
        <v>1.3913</v>
      </c>
      <c r="F12">
        <v>662.2</v>
      </c>
      <c r="G12">
        <v>706.95</v>
      </c>
      <c r="H12">
        <v>699.28509725498691</v>
      </c>
      <c r="I12">
        <v>4.5499999999999545</v>
      </c>
      <c r="J12">
        <v>24.799999999999955</v>
      </c>
      <c r="K12">
        <v>-5.4690244914025925</v>
      </c>
    </row>
    <row r="13" spans="1:11" x14ac:dyDescent="0.25">
      <c r="A13" s="1">
        <v>46041</v>
      </c>
      <c r="B13">
        <v>726.25</v>
      </c>
      <c r="C13">
        <v>664</v>
      </c>
      <c r="E13">
        <v>1.3865499999999999</v>
      </c>
      <c r="F13">
        <v>659.2</v>
      </c>
      <c r="G13">
        <v>702.45</v>
      </c>
      <c r="H13">
        <v>709.69186957291288</v>
      </c>
      <c r="I13">
        <v>4.7999999999999545</v>
      </c>
      <c r="J13">
        <v>23.799999999999955</v>
      </c>
    </row>
    <row r="14" spans="1:11" x14ac:dyDescent="0.25">
      <c r="A14" s="1">
        <v>46042</v>
      </c>
      <c r="B14">
        <v>736.75</v>
      </c>
      <c r="C14">
        <v>678.5</v>
      </c>
      <c r="D14">
        <v>725.34890540258516</v>
      </c>
      <c r="E14">
        <v>1.3831500000000001</v>
      </c>
      <c r="F14">
        <v>673.75</v>
      </c>
      <c r="G14">
        <v>714</v>
      </c>
      <c r="H14">
        <v>730.81792989398775</v>
      </c>
      <c r="I14">
        <v>4.75</v>
      </c>
      <c r="J14">
        <v>22.75</v>
      </c>
      <c r="K14">
        <v>-5.4690244914025925</v>
      </c>
    </row>
    <row r="15" spans="1:11" x14ac:dyDescent="0.25">
      <c r="A15" s="1">
        <v>46043</v>
      </c>
      <c r="B15">
        <v>749.5</v>
      </c>
      <c r="C15">
        <v>698</v>
      </c>
      <c r="D15">
        <v>754.10034844310132</v>
      </c>
      <c r="E15">
        <v>1.3797999999999999</v>
      </c>
      <c r="F15">
        <v>690.4</v>
      </c>
      <c r="G15">
        <v>727.4</v>
      </c>
      <c r="H15">
        <v>759.56937293450392</v>
      </c>
      <c r="I15">
        <v>7.6000000000000227</v>
      </c>
      <c r="J15">
        <v>22.100000000000023</v>
      </c>
      <c r="K15">
        <v>-5.4690244914025925</v>
      </c>
    </row>
    <row r="16" spans="1:11" x14ac:dyDescent="0.25">
      <c r="A16" s="1">
        <v>46044</v>
      </c>
      <c r="B16">
        <v>728.5</v>
      </c>
      <c r="C16">
        <v>684</v>
      </c>
      <c r="D16">
        <v>734.19309929439612</v>
      </c>
      <c r="E16">
        <v>1.38025</v>
      </c>
      <c r="F16">
        <v>677.1</v>
      </c>
      <c r="G16">
        <v>716.1</v>
      </c>
      <c r="H16">
        <v>739.6621237857986</v>
      </c>
      <c r="I16">
        <v>6.8999999999999773</v>
      </c>
      <c r="J16">
        <v>12.399999999999977</v>
      </c>
      <c r="K16">
        <v>-5.4690244914024788</v>
      </c>
    </row>
    <row r="17" spans="1:11" x14ac:dyDescent="0.25">
      <c r="A17" s="1">
        <v>46045</v>
      </c>
      <c r="B17">
        <v>733.5</v>
      </c>
      <c r="C17">
        <v>687.75</v>
      </c>
      <c r="D17">
        <v>753.47531707265512</v>
      </c>
      <c r="E17">
        <v>1.37355</v>
      </c>
      <c r="F17">
        <v>681.3</v>
      </c>
      <c r="G17">
        <v>723.8</v>
      </c>
      <c r="H17">
        <v>758.94434156405782</v>
      </c>
      <c r="I17">
        <v>6.4500000000000455</v>
      </c>
      <c r="J17">
        <v>9.7000000000000455</v>
      </c>
      <c r="K17">
        <v>-5.4690244914027062</v>
      </c>
    </row>
    <row r="18" spans="1:11" x14ac:dyDescent="0.25">
      <c r="A18" s="1">
        <v>46048</v>
      </c>
      <c r="B18">
        <v>734</v>
      </c>
      <c r="C18">
        <v>690</v>
      </c>
      <c r="D18">
        <v>797.07125516126393</v>
      </c>
      <c r="E18">
        <v>1.36805</v>
      </c>
      <c r="F18">
        <v>683.85</v>
      </c>
      <c r="G18">
        <v>726.1</v>
      </c>
      <c r="H18">
        <v>802.54027965266641</v>
      </c>
      <c r="I18">
        <v>6.1499999999999773</v>
      </c>
      <c r="J18">
        <v>7.8999999999999773</v>
      </c>
      <c r="K18">
        <v>-5.4690244914024788</v>
      </c>
    </row>
    <row r="19" spans="1:11" x14ac:dyDescent="0.25">
      <c r="A19" s="1">
        <v>46049</v>
      </c>
      <c r="B19">
        <v>741</v>
      </c>
      <c r="C19">
        <v>692.25</v>
      </c>
      <c r="D19">
        <v>821.50998174570259</v>
      </c>
      <c r="E19">
        <v>1.3610500000000001</v>
      </c>
      <c r="F19">
        <v>686.35</v>
      </c>
      <c r="G19">
        <v>733.35</v>
      </c>
      <c r="H19">
        <v>826.97900623710507</v>
      </c>
      <c r="I19">
        <v>5.8999999999999773</v>
      </c>
      <c r="J19">
        <v>7.6499999999999773</v>
      </c>
      <c r="K19">
        <v>-5.4690244914024788</v>
      </c>
    </row>
    <row r="20" spans="1:11" x14ac:dyDescent="0.25">
      <c r="A20" s="1">
        <v>46050</v>
      </c>
      <c r="B20">
        <v>758.25</v>
      </c>
      <c r="C20">
        <v>706.75</v>
      </c>
      <c r="D20">
        <v>827.72904388164034</v>
      </c>
      <c r="E20">
        <v>1.35595</v>
      </c>
      <c r="F20">
        <v>701.65</v>
      </c>
      <c r="G20">
        <v>751.65</v>
      </c>
      <c r="H20">
        <v>833.19806837304282</v>
      </c>
      <c r="I20">
        <v>5.1000000000000227</v>
      </c>
      <c r="J20">
        <v>6.6000000000000227</v>
      </c>
      <c r="K20">
        <v>-5.4690244914024788</v>
      </c>
    </row>
    <row r="21" spans="1:11" x14ac:dyDescent="0.25">
      <c r="A21" s="1">
        <v>46051</v>
      </c>
      <c r="B21">
        <v>774.25</v>
      </c>
      <c r="C21">
        <v>723</v>
      </c>
      <c r="D21">
        <v>796.25871437968408</v>
      </c>
      <c r="E21">
        <v>1.35555</v>
      </c>
      <c r="F21">
        <v>718.25</v>
      </c>
      <c r="G21">
        <v>767.5</v>
      </c>
      <c r="H21">
        <v>807.97805257554649</v>
      </c>
      <c r="I21">
        <v>4.75</v>
      </c>
      <c r="J21">
        <v>6.75</v>
      </c>
      <c r="K21">
        <v>-11.719338195862406</v>
      </c>
    </row>
    <row r="22" spans="1:11" x14ac:dyDescent="0.25">
      <c r="A22" s="1">
        <v>46052</v>
      </c>
      <c r="B22">
        <v>800</v>
      </c>
      <c r="C22">
        <v>754.5</v>
      </c>
      <c r="D22">
        <v>847.8550540100016</v>
      </c>
      <c r="E22">
        <v>1.35415</v>
      </c>
      <c r="F22">
        <v>744.7</v>
      </c>
      <c r="G22">
        <v>792.2</v>
      </c>
      <c r="H22">
        <v>791.60223066986134</v>
      </c>
      <c r="I22">
        <v>9.7999999999999545</v>
      </c>
      <c r="J22">
        <v>7.7999999999999545</v>
      </c>
      <c r="K22">
        <v>56.252823340140253</v>
      </c>
    </row>
    <row r="23" spans="1:11" x14ac:dyDescent="0.25">
      <c r="A23" s="1">
        <v>46055</v>
      </c>
      <c r="B23">
        <v>749.25</v>
      </c>
      <c r="C23">
        <v>695.75</v>
      </c>
      <c r="D23">
        <v>775.75768542905519</v>
      </c>
      <c r="E23">
        <v>1.3692</v>
      </c>
      <c r="F23">
        <v>677.68200000000002</v>
      </c>
      <c r="G23">
        <v>723.43200000000002</v>
      </c>
      <c r="H23">
        <v>737.47451398923761</v>
      </c>
      <c r="I23">
        <v>18.067999999999984</v>
      </c>
      <c r="J23">
        <v>25.817999999999984</v>
      </c>
      <c r="K23">
        <v>38.283171439817579</v>
      </c>
    </row>
    <row r="24" spans="1:11" x14ac:dyDescent="0.25">
      <c r="A24" s="1">
        <v>46056</v>
      </c>
      <c r="B24">
        <v>760</v>
      </c>
      <c r="C24">
        <v>697.75</v>
      </c>
      <c r="D24">
        <v>792.78979027370872</v>
      </c>
      <c r="E24">
        <v>1.3652500000000001</v>
      </c>
      <c r="F24">
        <v>683.56799999999998</v>
      </c>
      <c r="G24">
        <v>733.06799999999998</v>
      </c>
      <c r="H24">
        <v>752.94404040777613</v>
      </c>
      <c r="I24">
        <v>14.182000000000016</v>
      </c>
      <c r="J24">
        <v>26.932000000000016</v>
      </c>
      <c r="K24">
        <v>39.845749865932589</v>
      </c>
    </row>
    <row r="25" spans="1:11" x14ac:dyDescent="0.25">
      <c r="A25" s="1">
        <v>46057</v>
      </c>
      <c r="B25">
        <v>762.25</v>
      </c>
      <c r="C25">
        <v>698.75</v>
      </c>
      <c r="D25">
        <v>828.94785505400989</v>
      </c>
      <c r="E25">
        <v>1.3672500000000001</v>
      </c>
      <c r="F25">
        <v>686.29499999999996</v>
      </c>
      <c r="G25">
        <v>737.54499999999996</v>
      </c>
      <c r="H25">
        <v>771.9137425008123</v>
      </c>
      <c r="I25">
        <v>12.455000000000041</v>
      </c>
      <c r="J25">
        <v>24.705000000000041</v>
      </c>
      <c r="K25">
        <v>57.034112553197588</v>
      </c>
    </row>
    <row r="26" spans="1:11" x14ac:dyDescent="0.25">
      <c r="A26" s="1">
        <v>46058</v>
      </c>
      <c r="B26">
        <v>768.75</v>
      </c>
      <c r="C26">
        <v>700.5</v>
      </c>
      <c r="D26">
        <v>775.25766033269838</v>
      </c>
      <c r="E26">
        <v>1.3685499999999999</v>
      </c>
      <c r="F26">
        <v>686.61400000000003</v>
      </c>
      <c r="G26">
        <v>737.86400000000003</v>
      </c>
      <c r="H26">
        <v>747.91253787568587</v>
      </c>
      <c r="I26">
        <v>13.885999999999967</v>
      </c>
      <c r="J26">
        <v>30.885999999999967</v>
      </c>
      <c r="K26">
        <v>27.345122457012508</v>
      </c>
    </row>
    <row r="27" spans="1:11" x14ac:dyDescent="0.25">
      <c r="A27" s="1">
        <v>46059</v>
      </c>
      <c r="B27">
        <v>778.25</v>
      </c>
      <c r="C27">
        <v>712.25</v>
      </c>
      <c r="D27">
        <v>800.29016671906072</v>
      </c>
      <c r="E27">
        <v>1.36355</v>
      </c>
      <c r="F27">
        <v>698.245</v>
      </c>
      <c r="G27">
        <v>747.70500000000004</v>
      </c>
      <c r="H27">
        <v>754.19410314866809</v>
      </c>
      <c r="I27">
        <v>14.004999999999995</v>
      </c>
      <c r="J27">
        <v>30.544999999999959</v>
      </c>
      <c r="K27">
        <v>46.09606357039263</v>
      </c>
    </row>
    <row r="28" spans="1:11" x14ac:dyDescent="0.25">
      <c r="A28" s="1">
        <v>46062</v>
      </c>
      <c r="B28">
        <v>771.75</v>
      </c>
      <c r="C28">
        <v>707.25</v>
      </c>
      <c r="D28">
        <v>801.41522318586351</v>
      </c>
      <c r="E28">
        <v>1.3572500000000001</v>
      </c>
      <c r="F28">
        <v>694.70500000000004</v>
      </c>
      <c r="G28">
        <v>743.95500000000004</v>
      </c>
      <c r="H28">
        <v>755.31915961547099</v>
      </c>
      <c r="I28">
        <v>12.544999999999959</v>
      </c>
      <c r="J28">
        <v>27.794999999999959</v>
      </c>
      <c r="K28">
        <v>46.096063570392516</v>
      </c>
    </row>
    <row r="29" spans="1:11" x14ac:dyDescent="0.25">
      <c r="A29" s="1">
        <v>46063</v>
      </c>
      <c r="B29">
        <v>761.25</v>
      </c>
      <c r="C29">
        <v>696.75</v>
      </c>
      <c r="D29">
        <v>769.97614525242966</v>
      </c>
      <c r="E29">
        <v>1.3525499999999999</v>
      </c>
      <c r="F29">
        <v>686.06799999999998</v>
      </c>
      <c r="G29">
        <v>734.06799999999998</v>
      </c>
      <c r="H29">
        <v>749.66262571293464</v>
      </c>
      <c r="I29">
        <v>10.682000000000016</v>
      </c>
      <c r="J29">
        <v>27.182000000000016</v>
      </c>
      <c r="K29">
        <v>20.313519539495019</v>
      </c>
    </row>
    <row r="30" spans="1:11" x14ac:dyDescent="0.25">
      <c r="A30" s="1">
        <v>46064</v>
      </c>
      <c r="B30">
        <v>775.25</v>
      </c>
      <c r="C30">
        <v>713.75</v>
      </c>
      <c r="D30">
        <v>782.97679775770655</v>
      </c>
      <c r="E30">
        <v>1.3607</v>
      </c>
      <c r="F30">
        <v>700.43200000000002</v>
      </c>
      <c r="G30">
        <v>747.18200000000002</v>
      </c>
      <c r="H30">
        <v>762.66327821821142</v>
      </c>
      <c r="I30">
        <v>13.317999999999984</v>
      </c>
      <c r="J30">
        <v>28.067999999999984</v>
      </c>
      <c r="K30">
        <v>20.313519539495132</v>
      </c>
    </row>
    <row r="31" spans="1:11" x14ac:dyDescent="0.25">
      <c r="A31" s="1">
        <v>46065</v>
      </c>
      <c r="B31">
        <v>753.75</v>
      </c>
      <c r="C31">
        <v>692.5</v>
      </c>
      <c r="D31">
        <v>773.53882406397202</v>
      </c>
      <c r="E31">
        <v>1.3599000000000001</v>
      </c>
      <c r="F31">
        <v>680.97699999999998</v>
      </c>
      <c r="G31">
        <v>727.22699999999998</v>
      </c>
      <c r="H31">
        <v>747.75628003307429</v>
      </c>
      <c r="I31">
        <v>11.523000000000025</v>
      </c>
      <c r="J31">
        <v>26.523000000000025</v>
      </c>
      <c r="K31">
        <v>25.782544030897725</v>
      </c>
    </row>
    <row r="32" spans="1:11" x14ac:dyDescent="0.25">
      <c r="A32" s="1">
        <v>46066</v>
      </c>
      <c r="B32">
        <v>750.75</v>
      </c>
      <c r="C32">
        <v>690.5</v>
      </c>
      <c r="D32">
        <v>772.03874877490148</v>
      </c>
      <c r="E32">
        <v>1.3633500000000001</v>
      </c>
      <c r="F32">
        <v>678.47699999999998</v>
      </c>
      <c r="G32">
        <v>724.72699999999998</v>
      </c>
      <c r="H32">
        <v>746.25620474400398</v>
      </c>
      <c r="I32">
        <v>12.023000000000025</v>
      </c>
      <c r="J32">
        <v>26.023000000000025</v>
      </c>
      <c r="K32">
        <v>25.782544030897498</v>
      </c>
    </row>
    <row r="33" spans="1:11" x14ac:dyDescent="0.25">
      <c r="A33" s="1">
        <v>46069</v>
      </c>
      <c r="B33">
        <v>763.75</v>
      </c>
      <c r="C33">
        <v>695.25</v>
      </c>
      <c r="E33">
        <v>1.3629</v>
      </c>
      <c r="F33">
        <v>685.13599999999997</v>
      </c>
      <c r="G33">
        <v>737.88599999999997</v>
      </c>
      <c r="H33">
        <v>753.38156236708835</v>
      </c>
      <c r="I33">
        <v>10.114000000000033</v>
      </c>
      <c r="J33">
        <v>25.864000000000033</v>
      </c>
    </row>
    <row r="34" spans="1:11" x14ac:dyDescent="0.25">
      <c r="A34" s="1">
        <v>46070</v>
      </c>
      <c r="B34">
        <v>761.5</v>
      </c>
      <c r="C34">
        <v>689</v>
      </c>
      <c r="D34">
        <v>761.16320292914111</v>
      </c>
      <c r="E34">
        <v>1.36835</v>
      </c>
      <c r="F34">
        <v>678.06799999999998</v>
      </c>
      <c r="G34">
        <v>737.31799999999998</v>
      </c>
      <c r="H34">
        <v>747.09999709410602</v>
      </c>
      <c r="I34">
        <v>10.932000000000016</v>
      </c>
      <c r="J34">
        <v>24.182000000000016</v>
      </c>
      <c r="K34">
        <v>14.063205835035092</v>
      </c>
    </row>
    <row r="35" spans="1:11" x14ac:dyDescent="0.25">
      <c r="A35" s="1">
        <v>46071</v>
      </c>
      <c r="B35">
        <v>784.25</v>
      </c>
      <c r="C35">
        <v>715.25</v>
      </c>
      <c r="D35">
        <v>789.47712401034494</v>
      </c>
      <c r="E35">
        <v>1.3666499999999999</v>
      </c>
      <c r="F35">
        <v>704.06799999999998</v>
      </c>
      <c r="G35">
        <v>763.81799999999998</v>
      </c>
      <c r="H35">
        <v>787.13325637117248</v>
      </c>
      <c r="I35">
        <v>11.182000000000016</v>
      </c>
      <c r="J35">
        <v>20.432000000000016</v>
      </c>
      <c r="K35">
        <v>2.3438676391724584</v>
      </c>
    </row>
    <row r="36" spans="1:11" x14ac:dyDescent="0.25">
      <c r="A36" s="1">
        <v>46072</v>
      </c>
      <c r="B36">
        <v>808.5</v>
      </c>
      <c r="C36">
        <v>744.5</v>
      </c>
      <c r="D36">
        <v>815.5721837264656</v>
      </c>
      <c r="E36">
        <v>1.36835</v>
      </c>
      <c r="F36">
        <v>731.09100000000001</v>
      </c>
      <c r="G36">
        <v>787.59100000000001</v>
      </c>
      <c r="H36">
        <v>817.13476215258049</v>
      </c>
      <c r="I36">
        <v>13.408999999999992</v>
      </c>
      <c r="J36">
        <v>20.908999999999992</v>
      </c>
      <c r="K36">
        <v>-1.5625784261148965</v>
      </c>
    </row>
    <row r="37" spans="1:11" x14ac:dyDescent="0.25">
      <c r="A37" s="1">
        <v>46073</v>
      </c>
      <c r="B37">
        <v>808.25</v>
      </c>
      <c r="C37">
        <v>748.75</v>
      </c>
      <c r="D37">
        <v>806.54048042352076</v>
      </c>
      <c r="E37">
        <v>1.36785</v>
      </c>
      <c r="F37">
        <v>737.43200000000002</v>
      </c>
      <c r="G37">
        <v>790.68200000000002</v>
      </c>
      <c r="H37">
        <v>808.10305884963566</v>
      </c>
      <c r="I37">
        <v>11.317999999999984</v>
      </c>
      <c r="J37">
        <v>17.567999999999984</v>
      </c>
      <c r="K37">
        <v>-1.5625784261148965</v>
      </c>
    </row>
    <row r="38" spans="1:11" x14ac:dyDescent="0.25">
      <c r="A38" s="1">
        <v>46076</v>
      </c>
      <c r="B38">
        <v>817</v>
      </c>
      <c r="C38">
        <v>761.25</v>
      </c>
      <c r="D38">
        <v>835.41692973812599</v>
      </c>
      <c r="E38">
        <v>1.3687499999999999</v>
      </c>
      <c r="F38">
        <v>751.52300000000002</v>
      </c>
      <c r="G38">
        <v>803.02300000000002</v>
      </c>
      <c r="H38">
        <v>836.979508164241</v>
      </c>
      <c r="I38">
        <v>9.7269999999999754</v>
      </c>
      <c r="J38">
        <v>13.976999999999975</v>
      </c>
      <c r="K38">
        <v>-1.5625784261150102</v>
      </c>
    </row>
    <row r="39" spans="1:11" x14ac:dyDescent="0.25">
      <c r="A39" s="1">
        <v>46077</v>
      </c>
      <c r="B39">
        <v>800.25</v>
      </c>
      <c r="C39">
        <v>748.5</v>
      </c>
      <c r="D39">
        <v>844.38612990402612</v>
      </c>
      <c r="E39">
        <v>1.3714500000000001</v>
      </c>
      <c r="F39">
        <v>736.90899999999999</v>
      </c>
      <c r="G39">
        <v>790.15899999999999</v>
      </c>
      <c r="H39">
        <v>839.6983946256812</v>
      </c>
      <c r="I39">
        <v>11.591000000000008</v>
      </c>
      <c r="J39">
        <v>10.091000000000008</v>
      </c>
      <c r="K39">
        <v>4.6877352783449169</v>
      </c>
    </row>
    <row r="40" spans="1:11" x14ac:dyDescent="0.25">
      <c r="A40" s="1">
        <v>46078</v>
      </c>
      <c r="B40">
        <v>798.5</v>
      </c>
      <c r="C40">
        <v>745</v>
      </c>
      <c r="D40">
        <v>840.35467756464936</v>
      </c>
      <c r="E40">
        <v>1.36825</v>
      </c>
      <c r="F40">
        <v>734.15899999999999</v>
      </c>
      <c r="G40">
        <v>788.90899999999999</v>
      </c>
      <c r="H40">
        <v>835.66694228630456</v>
      </c>
      <c r="I40">
        <v>10.841000000000008</v>
      </c>
      <c r="J40">
        <v>9.5910000000000082</v>
      </c>
      <c r="K40">
        <v>4.6877352783448032</v>
      </c>
    </row>
    <row r="41" spans="1:11" x14ac:dyDescent="0.25">
      <c r="A41" s="1">
        <v>46079</v>
      </c>
      <c r="B41">
        <v>826.75</v>
      </c>
      <c r="C41">
        <v>767.25</v>
      </c>
      <c r="D41">
        <v>821.13496292343495</v>
      </c>
      <c r="E41">
        <v>1.3684499999999999</v>
      </c>
      <c r="F41">
        <v>756.59100000000001</v>
      </c>
      <c r="G41">
        <v>814.84100000000001</v>
      </c>
      <c r="H41">
        <v>816.44722764508981</v>
      </c>
      <c r="I41">
        <v>10.658999999999992</v>
      </c>
      <c r="J41">
        <v>11.908999999999992</v>
      </c>
      <c r="K41">
        <v>4.6877352783451443</v>
      </c>
    </row>
    <row r="42" spans="1:11" x14ac:dyDescent="0.25">
      <c r="A42" s="1">
        <v>46080</v>
      </c>
      <c r="B42">
        <v>831.25</v>
      </c>
      <c r="C42">
        <v>767.5</v>
      </c>
      <c r="D42">
        <v>839.41713050898068</v>
      </c>
      <c r="E42">
        <v>1.36385</v>
      </c>
      <c r="F42">
        <v>757.79499999999996</v>
      </c>
      <c r="G42">
        <v>820.54499999999996</v>
      </c>
      <c r="H42">
        <v>811.29071883891049</v>
      </c>
      <c r="I42">
        <v>9.7050000000000409</v>
      </c>
      <c r="J42">
        <v>10.705000000000041</v>
      </c>
      <c r="K42">
        <v>28.126411670070183</v>
      </c>
    </row>
    <row r="43" spans="1:11" x14ac:dyDescent="0.25">
      <c r="A43" s="1">
        <v>46091</v>
      </c>
      <c r="B43">
        <v>1399.25</v>
      </c>
      <c r="C43">
        <v>1068</v>
      </c>
      <c r="D43">
        <v>1063.05335485456</v>
      </c>
      <c r="E43">
        <v>1.3565</v>
      </c>
      <c r="F43">
        <v>961.35699999999997</v>
      </c>
      <c r="G43">
        <v>1224.357</v>
      </c>
      <c r="H43">
        <v>1045.8649921672948</v>
      </c>
      <c r="I43">
        <v>106.64300000000003</v>
      </c>
      <c r="J43">
        <v>174.89300000000003</v>
      </c>
      <c r="K43">
        <v>17.188362687265226</v>
      </c>
    </row>
    <row r="44" spans="1:11" x14ac:dyDescent="0.25">
      <c r="A44" s="1">
        <v>46092</v>
      </c>
      <c r="B44">
        <v>1500.75</v>
      </c>
      <c r="C44">
        <v>1142</v>
      </c>
      <c r="D44">
        <v>1155.1517272897784</v>
      </c>
      <c r="E44">
        <v>1.36025</v>
      </c>
      <c r="F44">
        <v>1025.2139999999999</v>
      </c>
      <c r="G44">
        <v>1330.2139999999999</v>
      </c>
      <c r="H44">
        <v>1149.6827027983759</v>
      </c>
      <c r="I44">
        <v>116.78600000000006</v>
      </c>
      <c r="J44">
        <v>170.53600000000006</v>
      </c>
      <c r="K44">
        <v>5.4690244914024788</v>
      </c>
    </row>
    <row r="45" spans="1:11" x14ac:dyDescent="0.25">
      <c r="A45" s="1">
        <v>46093</v>
      </c>
      <c r="B45">
        <v>1630.25</v>
      </c>
      <c r="C45">
        <v>1216</v>
      </c>
      <c r="D45">
        <v>1214.5609590506708</v>
      </c>
      <c r="E45">
        <v>1.36195</v>
      </c>
      <c r="F45">
        <v>1104.357</v>
      </c>
      <c r="G45">
        <v>1494.357</v>
      </c>
      <c r="H45">
        <v>1218.4674051159582</v>
      </c>
      <c r="I45">
        <v>111.64300000000003</v>
      </c>
      <c r="J45">
        <v>135.89300000000003</v>
      </c>
      <c r="K45">
        <v>-3.9064460652873549</v>
      </c>
    </row>
    <row r="46" spans="1:11" x14ac:dyDescent="0.25">
      <c r="A46" s="1">
        <v>46083</v>
      </c>
      <c r="B46">
        <v>995.25</v>
      </c>
      <c r="C46">
        <v>890.5</v>
      </c>
      <c r="D46">
        <v>934.54690509086208</v>
      </c>
      <c r="E46">
        <v>1.37025</v>
      </c>
      <c r="F46">
        <v>845.14300000000003</v>
      </c>
      <c r="G46">
        <v>926.64300000000003</v>
      </c>
      <c r="H46">
        <v>906.42049342079179</v>
      </c>
      <c r="I46">
        <v>45.356999999999971</v>
      </c>
      <c r="J46">
        <v>68.606999999999971</v>
      </c>
      <c r="K46">
        <v>28.126411670070297</v>
      </c>
    </row>
    <row r="47" spans="1:11" x14ac:dyDescent="0.25">
      <c r="A47" s="1">
        <v>46084</v>
      </c>
      <c r="B47">
        <v>1223.25</v>
      </c>
      <c r="C47">
        <v>1020.75</v>
      </c>
      <c r="D47">
        <v>1024.0826489072517</v>
      </c>
      <c r="E47">
        <v>1.3704499999999999</v>
      </c>
      <c r="F47">
        <v>934.92899999999997</v>
      </c>
      <c r="G47">
        <v>1111.1790000000001</v>
      </c>
      <c r="H47">
        <v>995.95623723718165</v>
      </c>
      <c r="I47">
        <v>85.821000000000026</v>
      </c>
      <c r="J47">
        <v>112.07099999999991</v>
      </c>
      <c r="K47">
        <v>28.12641167007007</v>
      </c>
    </row>
    <row r="48" spans="1:11" x14ac:dyDescent="0.25">
      <c r="A48" s="1">
        <v>46085</v>
      </c>
      <c r="B48">
        <v>1259.75</v>
      </c>
      <c r="C48">
        <v>1012</v>
      </c>
      <c r="D48">
        <v>1057.4905756575904</v>
      </c>
      <c r="E48">
        <v>1.36595</v>
      </c>
      <c r="F48">
        <v>901.39300000000003</v>
      </c>
      <c r="G48">
        <v>1131.393</v>
      </c>
      <c r="H48">
        <v>1029.3641639875204</v>
      </c>
      <c r="I48">
        <v>110.60699999999997</v>
      </c>
      <c r="J48">
        <v>128.35699999999997</v>
      </c>
      <c r="K48">
        <v>28.126411670069956</v>
      </c>
    </row>
    <row r="49" spans="1:11" x14ac:dyDescent="0.25">
      <c r="A49" s="1">
        <v>46086</v>
      </c>
      <c r="B49">
        <v>1462</v>
      </c>
      <c r="C49">
        <v>1135.75</v>
      </c>
      <c r="D49">
        <v>1157.6518527715623</v>
      </c>
      <c r="E49">
        <v>1.36835</v>
      </c>
      <c r="F49">
        <v>982.39300000000003</v>
      </c>
      <c r="G49">
        <v>1292.393</v>
      </c>
      <c r="H49">
        <v>1129.5254411014923</v>
      </c>
      <c r="I49">
        <v>153.35699999999997</v>
      </c>
      <c r="J49">
        <v>169.60699999999997</v>
      </c>
      <c r="K49">
        <v>28.126411670069956</v>
      </c>
    </row>
    <row r="50" spans="1:11" x14ac:dyDescent="0.25">
      <c r="A50" s="1">
        <v>46087</v>
      </c>
      <c r="B50">
        <v>1476.5</v>
      </c>
      <c r="C50">
        <v>1178.25</v>
      </c>
      <c r="D50">
        <v>1149.2451808390636</v>
      </c>
      <c r="E50">
        <v>1.3625499999999999</v>
      </c>
      <c r="F50">
        <v>1026.5</v>
      </c>
      <c r="G50">
        <v>1291.5</v>
      </c>
      <c r="H50">
        <v>1132.0568181517983</v>
      </c>
      <c r="I50">
        <v>151.75</v>
      </c>
      <c r="J50">
        <v>185</v>
      </c>
      <c r="K50">
        <v>17.188362687265226</v>
      </c>
    </row>
    <row r="51" spans="1:11" x14ac:dyDescent="0.25">
      <c r="A51" s="1">
        <v>46090</v>
      </c>
      <c r="B51">
        <v>1463</v>
      </c>
      <c r="C51">
        <v>1194.75</v>
      </c>
      <c r="D51">
        <v>1138.0571193080802</v>
      </c>
      <c r="E51">
        <v>1.35745</v>
      </c>
      <c r="F51">
        <v>1050.4639999999999</v>
      </c>
      <c r="G51">
        <v>1283.4639999999999</v>
      </c>
      <c r="H51">
        <v>1120.868756620815</v>
      </c>
      <c r="I51">
        <v>144.28600000000006</v>
      </c>
      <c r="J51">
        <v>179.53600000000006</v>
      </c>
      <c r="K51">
        <v>17.188362687265226</v>
      </c>
    </row>
    <row r="52" spans="1:11" x14ac:dyDescent="0.25">
      <c r="A52" s="1">
        <v>46094</v>
      </c>
      <c r="B52">
        <v>1607.25</v>
      </c>
      <c r="C52">
        <v>1230</v>
      </c>
      <c r="D52">
        <v>1246.8438293342069</v>
      </c>
      <c r="E52">
        <v>1.37365</v>
      </c>
      <c r="F52">
        <v>1107.2860000000001</v>
      </c>
      <c r="G52">
        <v>1476.2860000000001</v>
      </c>
      <c r="H52">
        <v>1254.6567214647819</v>
      </c>
      <c r="I52">
        <v>122.71399999999994</v>
      </c>
      <c r="J52">
        <v>130.96399999999994</v>
      </c>
      <c r="K52">
        <v>-7.8128921305749373</v>
      </c>
    </row>
    <row r="53" spans="1:11" x14ac:dyDescent="0.25">
      <c r="A53" s="1">
        <v>46097</v>
      </c>
      <c r="B53">
        <v>1698</v>
      </c>
      <c r="C53">
        <v>1255.25</v>
      </c>
      <c r="D53">
        <v>1191.466049912691</v>
      </c>
      <c r="E53">
        <v>1.3685</v>
      </c>
      <c r="F53">
        <v>1131.4290000000001</v>
      </c>
      <c r="G53">
        <v>1558.4290000000001</v>
      </c>
      <c r="H53">
        <v>1199.2789420432659</v>
      </c>
      <c r="I53">
        <v>123.82099999999991</v>
      </c>
      <c r="J53">
        <v>139.57099999999991</v>
      </c>
      <c r="K53">
        <v>-7.8128921305749373</v>
      </c>
    </row>
    <row r="54" spans="1:11" x14ac:dyDescent="0.25">
      <c r="A54" s="1">
        <v>46098</v>
      </c>
      <c r="B54">
        <v>1664.5</v>
      </c>
      <c r="C54">
        <v>1259</v>
      </c>
      <c r="D54">
        <v>1247.1875965879522</v>
      </c>
      <c r="E54">
        <v>1.3708499999999999</v>
      </c>
      <c r="F54">
        <v>1133.6790000000001</v>
      </c>
      <c r="G54">
        <v>1509.6790000000001</v>
      </c>
      <c r="H54">
        <v>1255.0004887185271</v>
      </c>
      <c r="I54">
        <v>125.32099999999991</v>
      </c>
      <c r="J54">
        <v>154.82099999999991</v>
      </c>
      <c r="K54">
        <v>-7.8128921305749373</v>
      </c>
    </row>
    <row r="55" spans="1:11" x14ac:dyDescent="0.25">
      <c r="A55" s="1">
        <v>46099</v>
      </c>
      <c r="B55">
        <v>1717.75</v>
      </c>
      <c r="C55">
        <v>1364.25</v>
      </c>
      <c r="D55">
        <v>1301.7215836593657</v>
      </c>
      <c r="E55">
        <v>1.36985</v>
      </c>
      <c r="F55">
        <v>1222.5360000000001</v>
      </c>
      <c r="G55">
        <v>1577.5360000000001</v>
      </c>
      <c r="H55">
        <v>1311.8783434291133</v>
      </c>
      <c r="I55">
        <v>141.71399999999994</v>
      </c>
      <c r="J55">
        <v>140.21399999999994</v>
      </c>
      <c r="K55">
        <v>-10.156759769747623</v>
      </c>
    </row>
    <row r="56" spans="1:11" x14ac:dyDescent="0.25">
      <c r="A56" s="1">
        <v>46100</v>
      </c>
      <c r="B56">
        <v>1774.25</v>
      </c>
      <c r="C56">
        <v>1469.75</v>
      </c>
      <c r="D56">
        <v>1353.8179483860401</v>
      </c>
      <c r="E56">
        <v>1.37235</v>
      </c>
      <c r="F56">
        <v>1298.9639999999999</v>
      </c>
      <c r="G56">
        <v>1628.9639999999999</v>
      </c>
      <c r="H56">
        <v>1356.9431052382702</v>
      </c>
      <c r="I56">
        <v>170.78600000000006</v>
      </c>
      <c r="J56">
        <v>145.28600000000006</v>
      </c>
      <c r="K56">
        <v>-3.1251568522300204</v>
      </c>
    </row>
    <row r="57" spans="1:11" x14ac:dyDescent="0.25">
      <c r="A57" s="1">
        <v>46101</v>
      </c>
      <c r="B57">
        <v>1720.75</v>
      </c>
      <c r="C57">
        <v>1513.25</v>
      </c>
      <c r="D57">
        <v>1437.0721269294474</v>
      </c>
      <c r="E57">
        <v>1.3733</v>
      </c>
      <c r="F57">
        <v>1320.643</v>
      </c>
      <c r="G57">
        <v>1575.643</v>
      </c>
      <c r="H57">
        <v>1440.1972837816775</v>
      </c>
      <c r="I57">
        <v>192.60699999999997</v>
      </c>
      <c r="J57">
        <v>145.10699999999997</v>
      </c>
      <c r="K57">
        <v>-3.1251568522300204</v>
      </c>
    </row>
    <row r="58" spans="1:11" x14ac:dyDescent="0.25">
      <c r="A58" s="1">
        <v>46104</v>
      </c>
      <c r="B58">
        <v>1586.25</v>
      </c>
      <c r="C58">
        <v>1397.5</v>
      </c>
      <c r="D58">
        <v>1258.1881487078019</v>
      </c>
      <c r="E58">
        <v>1.3717999999999999</v>
      </c>
      <c r="F58">
        <v>1260.4290000000001</v>
      </c>
      <c r="G58">
        <v>1485.4290000000001</v>
      </c>
      <c r="H58">
        <v>1267.563619264492</v>
      </c>
      <c r="I58">
        <v>137.07099999999991</v>
      </c>
      <c r="J58">
        <v>100.82099999999991</v>
      </c>
      <c r="K58">
        <v>-9.3754705566900611</v>
      </c>
    </row>
    <row r="59" spans="1:11" x14ac:dyDescent="0.25">
      <c r="A59" s="1">
        <v>46105</v>
      </c>
      <c r="B59">
        <v>1558.25</v>
      </c>
      <c r="C59">
        <v>1389</v>
      </c>
      <c r="D59">
        <v>1331.5980831666845</v>
      </c>
      <c r="E59">
        <v>1.3765499999999999</v>
      </c>
      <c r="F59">
        <v>1264.393</v>
      </c>
      <c r="G59">
        <v>1481.393</v>
      </c>
      <c r="H59">
        <v>1340.9735537233746</v>
      </c>
      <c r="I59">
        <v>124.60699999999997</v>
      </c>
      <c r="J59">
        <v>76.856999999999971</v>
      </c>
      <c r="K59">
        <v>-9.3754705566900611</v>
      </c>
    </row>
    <row r="60" spans="1:11" x14ac:dyDescent="0.25">
      <c r="A60" s="1">
        <v>46106</v>
      </c>
      <c r="B60">
        <v>1457.75</v>
      </c>
      <c r="C60">
        <v>1288</v>
      </c>
      <c r="D60">
        <v>1238.7496730869311</v>
      </c>
      <c r="E60">
        <v>1.37995</v>
      </c>
      <c r="F60">
        <v>1166.7139999999999</v>
      </c>
      <c r="G60">
        <v>1379.7139999999999</v>
      </c>
      <c r="H60">
        <v>1252.0315897089088</v>
      </c>
      <c r="I60">
        <v>121.28600000000006</v>
      </c>
      <c r="J60">
        <v>78.036000000000058</v>
      </c>
      <c r="K60">
        <v>-13.281916621977643</v>
      </c>
    </row>
    <row r="61" spans="1:11" x14ac:dyDescent="0.25">
      <c r="A61" s="1">
        <v>46107</v>
      </c>
      <c r="B61">
        <v>1650.75</v>
      </c>
      <c r="C61">
        <v>1417</v>
      </c>
      <c r="D61">
        <v>1312.8471420533044</v>
      </c>
      <c r="E61">
        <v>1.3851500000000001</v>
      </c>
      <c r="F61">
        <v>1299.4639999999999</v>
      </c>
      <c r="G61">
        <v>1571.4639999999999</v>
      </c>
      <c r="H61">
        <v>1335.5045292319719</v>
      </c>
      <c r="I61">
        <v>117.53600000000006</v>
      </c>
      <c r="J61">
        <v>79.286000000000058</v>
      </c>
      <c r="K61">
        <v>-22.657387178667477</v>
      </c>
    </row>
    <row r="62" spans="1:11" x14ac:dyDescent="0.25">
      <c r="A62" s="1">
        <v>46108</v>
      </c>
      <c r="B62">
        <v>1704.5</v>
      </c>
      <c r="C62">
        <v>1442</v>
      </c>
      <c r="D62">
        <v>1396.3200815763682</v>
      </c>
      <c r="E62">
        <v>1.3882000000000001</v>
      </c>
      <c r="F62">
        <v>1322.5360000000001</v>
      </c>
      <c r="G62">
        <v>1601.5360000000001</v>
      </c>
      <c r="H62">
        <v>1404.9142629200005</v>
      </c>
      <c r="I62">
        <v>119.46399999999994</v>
      </c>
      <c r="J62">
        <v>102.96399999999994</v>
      </c>
      <c r="K62">
        <v>-8.5941813436322718</v>
      </c>
    </row>
    <row r="63" spans="1:11" x14ac:dyDescent="0.25">
      <c r="A63" s="1">
        <v>46111</v>
      </c>
      <c r="B63">
        <v>1765.25</v>
      </c>
      <c r="C63">
        <v>1461.75</v>
      </c>
      <c r="D63">
        <v>1355.3180236751105</v>
      </c>
      <c r="E63">
        <v>1.39205</v>
      </c>
      <c r="F63">
        <v>1356.357</v>
      </c>
      <c r="G63">
        <v>1700.357</v>
      </c>
      <c r="H63">
        <v>1363.912205018743</v>
      </c>
      <c r="I63">
        <v>105.39300000000003</v>
      </c>
      <c r="J63">
        <v>64.893000000000029</v>
      </c>
      <c r="K63">
        <v>-8.5941813436324992</v>
      </c>
    </row>
    <row r="64" spans="1:11" x14ac:dyDescent="0.25">
      <c r="A64" s="1">
        <v>46112</v>
      </c>
      <c r="B64">
        <v>1725.75</v>
      </c>
      <c r="C64">
        <v>1411.25</v>
      </c>
      <c r="D64">
        <v>1292.6586287878988</v>
      </c>
      <c r="E64">
        <v>1.3955500000000001</v>
      </c>
      <c r="F64">
        <v>1334.1790000000001</v>
      </c>
      <c r="G64">
        <v>1667.1790000000001</v>
      </c>
      <c r="H64">
        <v>1285.6270258703814</v>
      </c>
      <c r="I64">
        <v>77.070999999999913</v>
      </c>
      <c r="J64">
        <v>58.570999999999913</v>
      </c>
      <c r="K64">
        <v>7.0316029175173753</v>
      </c>
    </row>
    <row r="65" spans="1:11" x14ac:dyDescent="0.25">
      <c r="A65" s="1">
        <v>46113</v>
      </c>
      <c r="B65">
        <v>1610.25</v>
      </c>
      <c r="C65">
        <v>1406.5</v>
      </c>
      <c r="D65">
        <v>1299.0652003349703</v>
      </c>
      <c r="E65">
        <v>1.3886000000000001</v>
      </c>
      <c r="F65">
        <v>1176.4169999999999</v>
      </c>
      <c r="G65">
        <v>1459.4169999999999</v>
      </c>
      <c r="H65">
        <v>1267.8136318126706</v>
      </c>
      <c r="I65">
        <v>230.08300000000008</v>
      </c>
      <c r="J65">
        <v>150.83300000000008</v>
      </c>
      <c r="K65">
        <v>31.251568522299749</v>
      </c>
    </row>
    <row r="66" spans="1:11" x14ac:dyDescent="0.25">
      <c r="A66" s="1">
        <v>46114</v>
      </c>
      <c r="B66">
        <v>1842.5</v>
      </c>
      <c r="C66">
        <v>1617</v>
      </c>
      <c r="D66">
        <v>1402.757904691962</v>
      </c>
      <c r="E66">
        <v>1.39235</v>
      </c>
      <c r="F66">
        <v>1262.25</v>
      </c>
      <c r="G66">
        <v>1614.25</v>
      </c>
      <c r="H66">
        <v>1362.9121548260293</v>
      </c>
      <c r="I66">
        <v>354.75</v>
      </c>
      <c r="J66">
        <v>228.25</v>
      </c>
      <c r="K66">
        <v>39.845749865932703</v>
      </c>
    </row>
    <row r="67" spans="1:11" x14ac:dyDescent="0.25">
      <c r="A67" s="1">
        <v>46119</v>
      </c>
      <c r="B67">
        <v>1776.25</v>
      </c>
      <c r="C67">
        <v>1558.25</v>
      </c>
      <c r="D67">
        <v>1439.103478883397</v>
      </c>
      <c r="E67">
        <v>1.3909499999999999</v>
      </c>
      <c r="F67">
        <v>1320.4169999999999</v>
      </c>
      <c r="G67">
        <v>1640.4169999999999</v>
      </c>
      <c r="H67">
        <v>1399.2577290174645</v>
      </c>
      <c r="I67">
        <v>237.83300000000008</v>
      </c>
      <c r="J67">
        <v>135.83300000000008</v>
      </c>
      <c r="K67">
        <v>39.845749865932476</v>
      </c>
    </row>
    <row r="68" spans="1:11" x14ac:dyDescent="0.25">
      <c r="A68" s="1">
        <v>46120</v>
      </c>
      <c r="B68">
        <v>1485.75</v>
      </c>
      <c r="C68">
        <v>1280</v>
      </c>
      <c r="D68">
        <v>1214.4047012080594</v>
      </c>
      <c r="E68">
        <v>1.38415</v>
      </c>
      <c r="F68">
        <v>1127.75</v>
      </c>
      <c r="G68">
        <v>1402.75</v>
      </c>
      <c r="H68">
        <v>1190.1847356032767</v>
      </c>
      <c r="I68">
        <v>152.25</v>
      </c>
      <c r="J68">
        <v>83</v>
      </c>
      <c r="K68">
        <v>24.219965604782601</v>
      </c>
    </row>
    <row r="69" spans="1:11" x14ac:dyDescent="0.25">
      <c r="A69" s="1">
        <v>46121</v>
      </c>
      <c r="B69">
        <v>1580.25</v>
      </c>
      <c r="C69">
        <v>1425</v>
      </c>
      <c r="D69">
        <v>1246.7813261971621</v>
      </c>
      <c r="E69">
        <v>1.38235</v>
      </c>
      <c r="F69">
        <v>1203.8330000000001</v>
      </c>
      <c r="G69">
        <v>1508.8330000000001</v>
      </c>
      <c r="H69">
        <v>1230.3742527229545</v>
      </c>
      <c r="I69">
        <v>221.16699999999992</v>
      </c>
      <c r="J69">
        <v>71.416999999999916</v>
      </c>
      <c r="K69">
        <v>16.407073474207664</v>
      </c>
    </row>
    <row r="70" spans="1:11" x14ac:dyDescent="0.25">
      <c r="A70" s="1">
        <v>46122</v>
      </c>
      <c r="B70">
        <v>1469.5</v>
      </c>
      <c r="C70">
        <v>1335</v>
      </c>
      <c r="D70">
        <v>1182.5906044523581</v>
      </c>
      <c r="E70">
        <v>1.3832</v>
      </c>
      <c r="F70">
        <v>1128.1669999999999</v>
      </c>
      <c r="G70">
        <v>1426.6669999999999</v>
      </c>
      <c r="H70">
        <v>1175.5590015348405</v>
      </c>
      <c r="I70">
        <v>206.83300000000008</v>
      </c>
      <c r="J70">
        <v>42.833000000000084</v>
      </c>
      <c r="K70">
        <v>7.0316029175176027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8A3C-E837-41DA-A0E6-81E1CE3B4C27}">
  <dimension ref="A1:F70"/>
  <sheetViews>
    <sheetView workbookViewId="0">
      <selection sqref="A1:F70"/>
    </sheetView>
  </sheetViews>
  <sheetFormatPr defaultRowHeight="15" x14ac:dyDescent="0.25"/>
  <cols>
    <col min="1" max="1" width="17.28515625" bestFit="1" customWidth="1"/>
    <col min="2" max="2" width="14.28515625" bestFit="1" customWidth="1"/>
    <col min="3" max="3" width="9" bestFit="1" customWidth="1"/>
    <col min="4" max="4" width="17" bestFit="1" customWidth="1"/>
    <col min="5" max="5" width="10" bestFit="1" customWidth="1"/>
    <col min="6" max="6" width="16" bestFit="1" customWidth="1"/>
  </cols>
  <sheetData>
    <row r="1" spans="1:6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25">
      <c r="A2" s="1">
        <v>46024</v>
      </c>
      <c r="B2" s="1">
        <v>46054</v>
      </c>
      <c r="C2">
        <v>615.6</v>
      </c>
      <c r="D2" t="s">
        <v>23</v>
      </c>
      <c r="E2">
        <v>0</v>
      </c>
      <c r="F2">
        <v>132</v>
      </c>
    </row>
    <row r="3" spans="1:6" x14ac:dyDescent="0.25">
      <c r="A3" s="1">
        <v>46027</v>
      </c>
      <c r="B3" s="1">
        <v>46054</v>
      </c>
      <c r="C3">
        <v>626.85</v>
      </c>
      <c r="D3" t="s">
        <v>23</v>
      </c>
      <c r="E3">
        <v>1</v>
      </c>
      <c r="F3">
        <v>133</v>
      </c>
    </row>
    <row r="4" spans="1:6" x14ac:dyDescent="0.25">
      <c r="A4" s="1">
        <v>46028</v>
      </c>
      <c r="B4" s="1">
        <v>46054</v>
      </c>
      <c r="C4">
        <v>619.70000000000005</v>
      </c>
      <c r="D4" t="s">
        <v>23</v>
      </c>
      <c r="E4">
        <v>1</v>
      </c>
      <c r="F4">
        <v>134</v>
      </c>
    </row>
    <row r="5" spans="1:6" x14ac:dyDescent="0.25">
      <c r="A5" s="1">
        <v>46029</v>
      </c>
      <c r="B5" s="1">
        <v>46054</v>
      </c>
      <c r="C5">
        <v>607.75</v>
      </c>
      <c r="D5" t="s">
        <v>23</v>
      </c>
      <c r="E5">
        <v>3</v>
      </c>
      <c r="F5">
        <v>137</v>
      </c>
    </row>
    <row r="6" spans="1:6" x14ac:dyDescent="0.25">
      <c r="A6" s="1">
        <v>46030</v>
      </c>
      <c r="B6" s="1">
        <v>46054</v>
      </c>
      <c r="C6">
        <v>616.25</v>
      </c>
      <c r="D6" t="s">
        <v>23</v>
      </c>
      <c r="E6">
        <v>1</v>
      </c>
      <c r="F6">
        <v>138</v>
      </c>
    </row>
    <row r="7" spans="1:6" x14ac:dyDescent="0.25">
      <c r="A7" s="1">
        <v>46031</v>
      </c>
      <c r="B7" s="1">
        <v>46054</v>
      </c>
      <c r="C7">
        <v>638.45000000000005</v>
      </c>
      <c r="D7" t="s">
        <v>23</v>
      </c>
      <c r="E7">
        <v>1</v>
      </c>
      <c r="F7">
        <v>139</v>
      </c>
    </row>
    <row r="8" spans="1:6" x14ac:dyDescent="0.25">
      <c r="A8" s="1">
        <v>46034</v>
      </c>
      <c r="B8" s="1">
        <v>46054</v>
      </c>
      <c r="C8">
        <v>634.25</v>
      </c>
      <c r="D8" t="s">
        <v>23</v>
      </c>
      <c r="E8">
        <v>0</v>
      </c>
      <c r="F8">
        <v>139</v>
      </c>
    </row>
    <row r="9" spans="1:6" x14ac:dyDescent="0.25">
      <c r="A9" s="1">
        <v>46035</v>
      </c>
      <c r="B9" s="1">
        <v>46054</v>
      </c>
      <c r="C9">
        <v>661.65</v>
      </c>
      <c r="D9" t="s">
        <v>23</v>
      </c>
      <c r="E9">
        <v>0</v>
      </c>
      <c r="F9">
        <v>139</v>
      </c>
    </row>
    <row r="10" spans="1:6" x14ac:dyDescent="0.25">
      <c r="A10" s="1">
        <v>46036</v>
      </c>
      <c r="B10" s="1">
        <v>46054</v>
      </c>
      <c r="C10">
        <v>666.4</v>
      </c>
      <c r="D10" t="s">
        <v>23</v>
      </c>
      <c r="E10">
        <v>0</v>
      </c>
      <c r="F10">
        <v>139</v>
      </c>
    </row>
    <row r="11" spans="1:6" x14ac:dyDescent="0.25">
      <c r="A11" s="1">
        <v>46037</v>
      </c>
      <c r="B11" s="1">
        <v>46054</v>
      </c>
      <c r="C11">
        <v>648.15</v>
      </c>
      <c r="D11" t="s">
        <v>23</v>
      </c>
      <c r="E11">
        <v>0</v>
      </c>
      <c r="F11">
        <v>139</v>
      </c>
    </row>
    <row r="12" spans="1:6" x14ac:dyDescent="0.25">
      <c r="A12" s="1">
        <v>46038</v>
      </c>
      <c r="B12" s="1">
        <v>46054</v>
      </c>
      <c r="C12">
        <v>662.2</v>
      </c>
      <c r="D12" t="s">
        <v>23</v>
      </c>
      <c r="E12">
        <v>1</v>
      </c>
      <c r="F12">
        <v>139</v>
      </c>
    </row>
    <row r="13" spans="1:6" x14ac:dyDescent="0.25">
      <c r="A13" s="1">
        <v>46041</v>
      </c>
      <c r="B13" s="1">
        <v>46054</v>
      </c>
      <c r="C13">
        <v>659.2</v>
      </c>
      <c r="D13" t="s">
        <v>23</v>
      </c>
      <c r="E13">
        <v>9</v>
      </c>
      <c r="F13">
        <v>0</v>
      </c>
    </row>
    <row r="14" spans="1:6" x14ac:dyDescent="0.25">
      <c r="A14" s="1">
        <v>46042</v>
      </c>
      <c r="B14" s="1">
        <v>46054</v>
      </c>
      <c r="C14">
        <v>673.75</v>
      </c>
      <c r="D14" t="s">
        <v>23</v>
      </c>
      <c r="E14">
        <v>13</v>
      </c>
      <c r="F14">
        <v>161</v>
      </c>
    </row>
    <row r="15" spans="1:6" x14ac:dyDescent="0.25">
      <c r="A15" s="1">
        <v>46043</v>
      </c>
      <c r="B15" s="1">
        <v>46054</v>
      </c>
      <c r="C15">
        <v>690.4</v>
      </c>
      <c r="D15" t="s">
        <v>23</v>
      </c>
      <c r="E15">
        <v>9</v>
      </c>
      <c r="F15">
        <v>170</v>
      </c>
    </row>
    <row r="16" spans="1:6" x14ac:dyDescent="0.25">
      <c r="A16" s="1">
        <v>46044</v>
      </c>
      <c r="B16" s="1">
        <v>46054</v>
      </c>
      <c r="C16">
        <v>677.1</v>
      </c>
      <c r="D16" t="s">
        <v>23</v>
      </c>
      <c r="E16">
        <v>31</v>
      </c>
      <c r="F16">
        <v>170</v>
      </c>
    </row>
    <row r="17" spans="1:6" x14ac:dyDescent="0.25">
      <c r="A17" s="1">
        <v>46045</v>
      </c>
      <c r="B17" s="1">
        <v>46054</v>
      </c>
      <c r="C17">
        <v>681.3</v>
      </c>
      <c r="D17" t="s">
        <v>23</v>
      </c>
      <c r="E17">
        <v>0</v>
      </c>
      <c r="F17">
        <v>170</v>
      </c>
    </row>
    <row r="18" spans="1:6" x14ac:dyDescent="0.25">
      <c r="A18" s="1">
        <v>46048</v>
      </c>
      <c r="B18" s="1">
        <v>46054</v>
      </c>
      <c r="C18">
        <v>683.85</v>
      </c>
      <c r="D18" t="s">
        <v>23</v>
      </c>
      <c r="E18">
        <v>0</v>
      </c>
      <c r="F18">
        <v>0</v>
      </c>
    </row>
    <row r="19" spans="1:6" x14ac:dyDescent="0.25">
      <c r="A19" s="1">
        <v>46049</v>
      </c>
      <c r="B19" s="1">
        <v>46054</v>
      </c>
      <c r="C19">
        <v>686.35</v>
      </c>
      <c r="D19" t="s">
        <v>23</v>
      </c>
      <c r="E19">
        <v>0</v>
      </c>
      <c r="F19">
        <v>170</v>
      </c>
    </row>
    <row r="20" spans="1:6" x14ac:dyDescent="0.25">
      <c r="A20" s="1">
        <v>46050</v>
      </c>
      <c r="B20" s="1">
        <v>46054</v>
      </c>
      <c r="C20">
        <v>701.65</v>
      </c>
      <c r="D20" t="s">
        <v>23</v>
      </c>
      <c r="E20">
        <v>0</v>
      </c>
      <c r="F20">
        <v>170</v>
      </c>
    </row>
    <row r="21" spans="1:6" x14ac:dyDescent="0.25">
      <c r="A21" s="1">
        <v>46051</v>
      </c>
      <c r="B21" s="1">
        <v>46054</v>
      </c>
      <c r="C21">
        <v>718.25</v>
      </c>
      <c r="D21" t="s">
        <v>23</v>
      </c>
      <c r="E21">
        <v>0</v>
      </c>
      <c r="F21">
        <v>170</v>
      </c>
    </row>
    <row r="22" spans="1:6" x14ac:dyDescent="0.25">
      <c r="A22" s="1">
        <v>46052</v>
      </c>
      <c r="B22" s="1">
        <v>46054</v>
      </c>
      <c r="C22">
        <v>744.7</v>
      </c>
      <c r="D22" t="s">
        <v>23</v>
      </c>
      <c r="E22">
        <v>39</v>
      </c>
      <c r="F22">
        <v>131</v>
      </c>
    </row>
    <row r="23" spans="1:6" x14ac:dyDescent="0.25">
      <c r="A23" s="1">
        <v>46055</v>
      </c>
      <c r="B23" s="1">
        <v>46082</v>
      </c>
      <c r="C23">
        <v>677.68200000000002</v>
      </c>
      <c r="D23" t="s">
        <v>23</v>
      </c>
      <c r="E23">
        <v>0</v>
      </c>
      <c r="F23">
        <v>0</v>
      </c>
    </row>
    <row r="24" spans="1:6" x14ac:dyDescent="0.25">
      <c r="A24" s="1">
        <v>46056</v>
      </c>
      <c r="B24" s="1">
        <v>46082</v>
      </c>
      <c r="C24">
        <v>683.56799999999998</v>
      </c>
      <c r="D24" t="s">
        <v>23</v>
      </c>
      <c r="E24">
        <v>0</v>
      </c>
      <c r="F24">
        <v>144</v>
      </c>
    </row>
    <row r="25" spans="1:6" x14ac:dyDescent="0.25">
      <c r="A25" s="1">
        <v>46057</v>
      </c>
      <c r="B25" s="1">
        <v>46082</v>
      </c>
      <c r="C25">
        <v>686.29499999999996</v>
      </c>
      <c r="D25" t="s">
        <v>23</v>
      </c>
      <c r="E25">
        <v>9</v>
      </c>
      <c r="F25">
        <v>144</v>
      </c>
    </row>
    <row r="26" spans="1:6" x14ac:dyDescent="0.25">
      <c r="A26" s="1">
        <v>46058</v>
      </c>
      <c r="B26" s="1">
        <v>46082</v>
      </c>
      <c r="C26">
        <v>686.61400000000003</v>
      </c>
      <c r="D26" t="s">
        <v>23</v>
      </c>
      <c r="E26">
        <v>0</v>
      </c>
      <c r="F26">
        <v>144</v>
      </c>
    </row>
    <row r="27" spans="1:6" x14ac:dyDescent="0.25">
      <c r="A27" s="1">
        <v>46059</v>
      </c>
      <c r="B27" s="1">
        <v>46082</v>
      </c>
      <c r="C27">
        <v>698.245</v>
      </c>
      <c r="D27" t="s">
        <v>23</v>
      </c>
      <c r="E27">
        <v>5</v>
      </c>
      <c r="F27">
        <v>144</v>
      </c>
    </row>
    <row r="28" spans="1:6" x14ac:dyDescent="0.25">
      <c r="A28" s="1">
        <v>46062</v>
      </c>
      <c r="B28" s="1">
        <v>46082</v>
      </c>
      <c r="C28">
        <v>694.70500000000004</v>
      </c>
      <c r="D28" t="s">
        <v>23</v>
      </c>
      <c r="E28">
        <v>0</v>
      </c>
      <c r="F28">
        <v>0</v>
      </c>
    </row>
    <row r="29" spans="1:6" x14ac:dyDescent="0.25">
      <c r="A29" s="1">
        <v>46063</v>
      </c>
      <c r="B29" s="1">
        <v>46082</v>
      </c>
      <c r="C29">
        <v>686.06799999999998</v>
      </c>
      <c r="D29" t="s">
        <v>23</v>
      </c>
      <c r="E29">
        <v>0</v>
      </c>
      <c r="F29">
        <v>0</v>
      </c>
    </row>
    <row r="30" spans="1:6" x14ac:dyDescent="0.25">
      <c r="A30" s="1">
        <v>46064</v>
      </c>
      <c r="B30" s="1">
        <v>46082</v>
      </c>
      <c r="C30">
        <v>700.43200000000002</v>
      </c>
      <c r="D30" t="s">
        <v>23</v>
      </c>
      <c r="E30">
        <v>0</v>
      </c>
      <c r="F30">
        <v>144</v>
      </c>
    </row>
    <row r="31" spans="1:6" x14ac:dyDescent="0.25">
      <c r="A31" s="1">
        <v>46065</v>
      </c>
      <c r="B31" s="1">
        <v>46082</v>
      </c>
      <c r="C31">
        <v>680.97699999999998</v>
      </c>
      <c r="D31" t="s">
        <v>23</v>
      </c>
      <c r="E31">
        <v>0</v>
      </c>
      <c r="F31">
        <v>144</v>
      </c>
    </row>
    <row r="32" spans="1:6" x14ac:dyDescent="0.25">
      <c r="A32" s="1">
        <v>46066</v>
      </c>
      <c r="B32" s="1">
        <v>46082</v>
      </c>
      <c r="C32">
        <v>678.47699999999998</v>
      </c>
      <c r="D32" t="s">
        <v>23</v>
      </c>
      <c r="E32">
        <v>10</v>
      </c>
      <c r="F32">
        <v>146</v>
      </c>
    </row>
    <row r="33" spans="1:6" x14ac:dyDescent="0.25">
      <c r="A33" s="1">
        <v>46069</v>
      </c>
      <c r="B33" s="1">
        <v>46082</v>
      </c>
      <c r="C33">
        <v>685.13599999999997</v>
      </c>
      <c r="D33" t="s">
        <v>23</v>
      </c>
      <c r="E33">
        <v>0</v>
      </c>
      <c r="F33">
        <v>0</v>
      </c>
    </row>
    <row r="34" spans="1:6" x14ac:dyDescent="0.25">
      <c r="A34" s="1">
        <v>46070</v>
      </c>
      <c r="B34" s="1">
        <v>46082</v>
      </c>
      <c r="C34">
        <v>678.06799999999998</v>
      </c>
      <c r="D34" t="s">
        <v>23</v>
      </c>
      <c r="E34">
        <v>6</v>
      </c>
      <c r="F34">
        <v>149</v>
      </c>
    </row>
    <row r="35" spans="1:6" x14ac:dyDescent="0.25">
      <c r="A35" s="1">
        <v>46071</v>
      </c>
      <c r="B35" s="1">
        <v>46082</v>
      </c>
      <c r="C35">
        <v>704.06799999999998</v>
      </c>
      <c r="D35" t="s">
        <v>23</v>
      </c>
      <c r="E35">
        <v>9</v>
      </c>
      <c r="F35">
        <v>158</v>
      </c>
    </row>
    <row r="36" spans="1:6" x14ac:dyDescent="0.25">
      <c r="A36" s="1">
        <v>46072</v>
      </c>
      <c r="B36" s="1">
        <v>46082</v>
      </c>
      <c r="C36">
        <v>731.09100000000001</v>
      </c>
      <c r="D36" t="s">
        <v>23</v>
      </c>
      <c r="E36">
        <v>9</v>
      </c>
      <c r="F36">
        <v>167</v>
      </c>
    </row>
    <row r="37" spans="1:6" x14ac:dyDescent="0.25">
      <c r="A37" s="1">
        <v>46073</v>
      </c>
      <c r="B37" s="1">
        <v>46082</v>
      </c>
      <c r="C37">
        <v>737.43200000000002</v>
      </c>
      <c r="D37" t="s">
        <v>23</v>
      </c>
      <c r="E37">
        <v>10</v>
      </c>
      <c r="F37">
        <v>165</v>
      </c>
    </row>
    <row r="38" spans="1:6" x14ac:dyDescent="0.25">
      <c r="A38" s="1">
        <v>46076</v>
      </c>
      <c r="B38" s="1">
        <v>46082</v>
      </c>
      <c r="C38">
        <v>751.52300000000002</v>
      </c>
      <c r="D38" t="s">
        <v>23</v>
      </c>
      <c r="E38">
        <v>0</v>
      </c>
      <c r="F38">
        <v>0</v>
      </c>
    </row>
    <row r="39" spans="1:6" x14ac:dyDescent="0.25">
      <c r="A39" s="1">
        <v>46077</v>
      </c>
      <c r="B39" s="1">
        <v>46082</v>
      </c>
      <c r="C39">
        <v>736.90899999999999</v>
      </c>
      <c r="D39" t="s">
        <v>23</v>
      </c>
      <c r="E39">
        <v>0</v>
      </c>
      <c r="F39">
        <v>165</v>
      </c>
    </row>
    <row r="40" spans="1:6" x14ac:dyDescent="0.25">
      <c r="A40" s="1">
        <v>46078</v>
      </c>
      <c r="B40" s="1">
        <v>46082</v>
      </c>
      <c r="C40">
        <v>734.15899999999999</v>
      </c>
      <c r="D40" t="s">
        <v>23</v>
      </c>
      <c r="E40">
        <v>0</v>
      </c>
      <c r="F40">
        <v>165</v>
      </c>
    </row>
    <row r="41" spans="1:6" x14ac:dyDescent="0.25">
      <c r="A41" s="1">
        <v>46079</v>
      </c>
      <c r="B41" s="1">
        <v>46082</v>
      </c>
      <c r="C41">
        <v>756.59100000000001</v>
      </c>
      <c r="D41" t="s">
        <v>23</v>
      </c>
      <c r="E41">
        <v>10</v>
      </c>
      <c r="F41">
        <v>165</v>
      </c>
    </row>
    <row r="42" spans="1:6" x14ac:dyDescent="0.25">
      <c r="A42" s="1">
        <v>46080</v>
      </c>
      <c r="B42" s="1">
        <v>46082</v>
      </c>
      <c r="C42">
        <v>757.79499999999996</v>
      </c>
      <c r="D42" t="s">
        <v>23</v>
      </c>
      <c r="E42">
        <v>0</v>
      </c>
      <c r="F42">
        <v>165</v>
      </c>
    </row>
    <row r="43" spans="1:6" x14ac:dyDescent="0.25">
      <c r="A43" s="1">
        <v>46083</v>
      </c>
      <c r="B43" s="1">
        <v>46113</v>
      </c>
      <c r="C43">
        <v>845.14300000000003</v>
      </c>
      <c r="D43" t="s">
        <v>23</v>
      </c>
      <c r="E43">
        <v>9</v>
      </c>
      <c r="F43">
        <v>0</v>
      </c>
    </row>
    <row r="44" spans="1:6" x14ac:dyDescent="0.25">
      <c r="A44" s="1">
        <v>46084</v>
      </c>
      <c r="B44" s="1">
        <v>46113</v>
      </c>
      <c r="C44">
        <v>934.92899999999997</v>
      </c>
      <c r="D44" t="s">
        <v>23</v>
      </c>
      <c r="E44">
        <v>36</v>
      </c>
      <c r="F44">
        <v>221</v>
      </c>
    </row>
    <row r="45" spans="1:6" x14ac:dyDescent="0.25">
      <c r="A45" s="1">
        <v>46085</v>
      </c>
      <c r="B45" s="1">
        <v>46113</v>
      </c>
      <c r="C45">
        <v>901.39300000000003</v>
      </c>
      <c r="D45" t="s">
        <v>23</v>
      </c>
      <c r="E45">
        <v>1</v>
      </c>
      <c r="F45">
        <v>221</v>
      </c>
    </row>
    <row r="46" spans="1:6" x14ac:dyDescent="0.25">
      <c r="A46" s="1">
        <v>46086</v>
      </c>
      <c r="B46" s="1">
        <v>46113</v>
      </c>
      <c r="C46">
        <v>982.39300000000003</v>
      </c>
      <c r="D46" t="s">
        <v>23</v>
      </c>
      <c r="E46">
        <v>11</v>
      </c>
      <c r="F46">
        <v>221</v>
      </c>
    </row>
    <row r="47" spans="1:6" x14ac:dyDescent="0.25">
      <c r="A47" s="1">
        <v>46087</v>
      </c>
      <c r="B47" s="1">
        <v>46113</v>
      </c>
      <c r="C47">
        <v>1026.5</v>
      </c>
      <c r="D47" t="s">
        <v>23</v>
      </c>
      <c r="E47">
        <v>1</v>
      </c>
      <c r="F47">
        <v>221</v>
      </c>
    </row>
    <row r="48" spans="1:6" x14ac:dyDescent="0.25">
      <c r="A48" s="1">
        <v>46090</v>
      </c>
      <c r="B48" s="1">
        <v>46113</v>
      </c>
      <c r="C48">
        <v>1050.4639999999999</v>
      </c>
      <c r="D48" t="s">
        <v>23</v>
      </c>
      <c r="E48">
        <v>0</v>
      </c>
      <c r="F48">
        <v>221</v>
      </c>
    </row>
    <row r="49" spans="1:6" x14ac:dyDescent="0.25">
      <c r="A49" s="1">
        <v>46091</v>
      </c>
      <c r="B49" s="1">
        <v>46113</v>
      </c>
      <c r="C49">
        <v>961.35699999999997</v>
      </c>
      <c r="D49" t="s">
        <v>23</v>
      </c>
      <c r="E49">
        <v>31</v>
      </c>
      <c r="F49">
        <v>224</v>
      </c>
    </row>
    <row r="50" spans="1:6" x14ac:dyDescent="0.25">
      <c r="A50" s="1">
        <v>46092</v>
      </c>
      <c r="B50" s="1">
        <v>46113</v>
      </c>
      <c r="C50">
        <v>1025.2139999999999</v>
      </c>
      <c r="D50" t="s">
        <v>23</v>
      </c>
      <c r="E50">
        <v>16</v>
      </c>
      <c r="F50">
        <v>240</v>
      </c>
    </row>
    <row r="51" spans="1:6" x14ac:dyDescent="0.25">
      <c r="A51" s="1">
        <v>46093</v>
      </c>
      <c r="B51" s="1">
        <v>46113</v>
      </c>
      <c r="C51">
        <v>1104.357</v>
      </c>
      <c r="D51" t="s">
        <v>23</v>
      </c>
      <c r="E51">
        <v>0</v>
      </c>
      <c r="F51">
        <v>240</v>
      </c>
    </row>
    <row r="52" spans="1:6" x14ac:dyDescent="0.25">
      <c r="A52" s="1">
        <v>46094</v>
      </c>
      <c r="B52" s="1">
        <v>46113</v>
      </c>
      <c r="C52">
        <v>1107.2860000000001</v>
      </c>
      <c r="D52" t="s">
        <v>23</v>
      </c>
      <c r="E52">
        <v>0</v>
      </c>
      <c r="F52">
        <v>240</v>
      </c>
    </row>
    <row r="53" spans="1:6" x14ac:dyDescent="0.25">
      <c r="A53" s="1">
        <v>46097</v>
      </c>
      <c r="B53" s="1">
        <v>46113</v>
      </c>
      <c r="C53">
        <v>1131.4290000000001</v>
      </c>
      <c r="D53" t="s">
        <v>23</v>
      </c>
      <c r="E53">
        <v>0</v>
      </c>
      <c r="F53">
        <v>0</v>
      </c>
    </row>
    <row r="54" spans="1:6" x14ac:dyDescent="0.25">
      <c r="A54" s="1">
        <v>46098</v>
      </c>
      <c r="B54" s="1">
        <v>46113</v>
      </c>
      <c r="C54">
        <v>1133.6790000000001</v>
      </c>
      <c r="D54" t="s">
        <v>23</v>
      </c>
      <c r="E54">
        <v>10</v>
      </c>
      <c r="F54">
        <v>250</v>
      </c>
    </row>
    <row r="55" spans="1:6" x14ac:dyDescent="0.25">
      <c r="A55" s="1">
        <v>46099</v>
      </c>
      <c r="B55" s="1">
        <v>46113</v>
      </c>
      <c r="C55">
        <v>1222.5360000000001</v>
      </c>
      <c r="D55" t="s">
        <v>23</v>
      </c>
      <c r="E55">
        <v>10</v>
      </c>
      <c r="F55">
        <v>259</v>
      </c>
    </row>
    <row r="56" spans="1:6" x14ac:dyDescent="0.25">
      <c r="A56" s="1">
        <v>46100</v>
      </c>
      <c r="B56" s="1">
        <v>46113</v>
      </c>
      <c r="C56">
        <v>1298.9639999999999</v>
      </c>
      <c r="D56" t="s">
        <v>23</v>
      </c>
      <c r="E56">
        <v>10</v>
      </c>
      <c r="F56">
        <v>249</v>
      </c>
    </row>
    <row r="57" spans="1:6" x14ac:dyDescent="0.25">
      <c r="A57" s="1">
        <v>46101</v>
      </c>
      <c r="B57" s="1">
        <v>46113</v>
      </c>
      <c r="C57">
        <v>1320.643</v>
      </c>
      <c r="D57" t="s">
        <v>23</v>
      </c>
      <c r="E57">
        <v>10</v>
      </c>
      <c r="F57">
        <v>248</v>
      </c>
    </row>
    <row r="58" spans="1:6" x14ac:dyDescent="0.25">
      <c r="A58" s="1">
        <v>46104</v>
      </c>
      <c r="B58" s="1">
        <v>46113</v>
      </c>
      <c r="C58">
        <v>1260.4290000000001</v>
      </c>
      <c r="D58" t="s">
        <v>23</v>
      </c>
      <c r="E58">
        <v>5</v>
      </c>
      <c r="F58">
        <v>0</v>
      </c>
    </row>
    <row r="59" spans="1:6" x14ac:dyDescent="0.25">
      <c r="A59" s="1">
        <v>46105</v>
      </c>
      <c r="B59" s="1">
        <v>46113</v>
      </c>
      <c r="C59">
        <v>1264.393</v>
      </c>
      <c r="D59" t="s">
        <v>23</v>
      </c>
      <c r="E59">
        <v>33</v>
      </c>
      <c r="F59">
        <v>281</v>
      </c>
    </row>
    <row r="60" spans="1:6" x14ac:dyDescent="0.25">
      <c r="A60" s="1">
        <v>46106</v>
      </c>
      <c r="B60" s="1">
        <v>46113</v>
      </c>
      <c r="C60">
        <v>1166.7139999999999</v>
      </c>
      <c r="D60" t="s">
        <v>23</v>
      </c>
      <c r="E60">
        <v>3</v>
      </c>
      <c r="F60">
        <v>284</v>
      </c>
    </row>
    <row r="61" spans="1:6" x14ac:dyDescent="0.25">
      <c r="A61" s="1">
        <v>46107</v>
      </c>
      <c r="B61" s="1">
        <v>46113</v>
      </c>
      <c r="C61">
        <v>1299.4639999999999</v>
      </c>
      <c r="D61" t="s">
        <v>23</v>
      </c>
      <c r="E61">
        <v>47</v>
      </c>
      <c r="F61">
        <v>321</v>
      </c>
    </row>
    <row r="62" spans="1:6" x14ac:dyDescent="0.25">
      <c r="A62" s="1">
        <v>46108</v>
      </c>
      <c r="B62" s="1">
        <v>46113</v>
      </c>
      <c r="C62">
        <v>1322.5360000000001</v>
      </c>
      <c r="D62" t="s">
        <v>23</v>
      </c>
      <c r="E62">
        <v>5</v>
      </c>
      <c r="F62">
        <v>321</v>
      </c>
    </row>
    <row r="63" spans="1:6" x14ac:dyDescent="0.25">
      <c r="A63" s="1">
        <v>46111</v>
      </c>
      <c r="B63" s="1">
        <v>46113</v>
      </c>
      <c r="C63">
        <v>1356.357</v>
      </c>
      <c r="D63" t="s">
        <v>23</v>
      </c>
      <c r="E63">
        <v>13</v>
      </c>
      <c r="F63">
        <v>0</v>
      </c>
    </row>
    <row r="64" spans="1:6" x14ac:dyDescent="0.25">
      <c r="A64" s="1">
        <v>46112</v>
      </c>
      <c r="B64" s="1">
        <v>46113</v>
      </c>
      <c r="C64">
        <v>1334.1790000000001</v>
      </c>
      <c r="D64" t="s">
        <v>23</v>
      </c>
      <c r="E64">
        <v>16</v>
      </c>
      <c r="F64">
        <v>350</v>
      </c>
    </row>
    <row r="65" spans="1:6" x14ac:dyDescent="0.25">
      <c r="A65" s="1">
        <v>46113</v>
      </c>
      <c r="B65" s="1">
        <v>46143</v>
      </c>
      <c r="C65">
        <v>1176.4169999999999</v>
      </c>
      <c r="D65" t="s">
        <v>23</v>
      </c>
      <c r="E65">
        <v>26</v>
      </c>
      <c r="F65">
        <v>222</v>
      </c>
    </row>
    <row r="66" spans="1:6" x14ac:dyDescent="0.25">
      <c r="A66" s="1">
        <v>46114</v>
      </c>
      <c r="B66" s="1">
        <v>46143</v>
      </c>
      <c r="C66">
        <v>1262.25</v>
      </c>
      <c r="D66" t="s">
        <v>23</v>
      </c>
      <c r="E66">
        <v>5</v>
      </c>
      <c r="F66">
        <v>227</v>
      </c>
    </row>
    <row r="67" spans="1:6" x14ac:dyDescent="0.25">
      <c r="A67" s="1">
        <v>46119</v>
      </c>
      <c r="B67" s="1">
        <v>46143</v>
      </c>
      <c r="C67">
        <v>1320.4169999999999</v>
      </c>
      <c r="D67" t="s">
        <v>23</v>
      </c>
      <c r="E67">
        <v>14</v>
      </c>
      <c r="F67">
        <v>241</v>
      </c>
    </row>
    <row r="68" spans="1:6" x14ac:dyDescent="0.25">
      <c r="A68" s="1">
        <v>46120</v>
      </c>
      <c r="B68" s="1">
        <v>46143</v>
      </c>
      <c r="C68">
        <v>1127.75</v>
      </c>
      <c r="D68" t="s">
        <v>23</v>
      </c>
      <c r="E68">
        <v>10</v>
      </c>
      <c r="F68">
        <v>251</v>
      </c>
    </row>
    <row r="69" spans="1:6" x14ac:dyDescent="0.25">
      <c r="A69" s="1">
        <v>46121</v>
      </c>
      <c r="B69" s="1">
        <v>46143</v>
      </c>
      <c r="C69">
        <v>1203.8330000000001</v>
      </c>
      <c r="D69" t="s">
        <v>23</v>
      </c>
      <c r="E69">
        <v>0</v>
      </c>
      <c r="F69">
        <v>251</v>
      </c>
    </row>
    <row r="70" spans="1:6" x14ac:dyDescent="0.25">
      <c r="A70" s="1">
        <v>46122</v>
      </c>
      <c r="B70" s="1">
        <v>46143</v>
      </c>
      <c r="C70">
        <v>1128.1669999999999</v>
      </c>
      <c r="D70" t="s">
        <v>23</v>
      </c>
      <c r="E70">
        <v>5</v>
      </c>
      <c r="F70">
        <v>251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A0C3-3A6D-45BC-9523-B5A1AD312C8D}">
  <dimension ref="A1:D70"/>
  <sheetViews>
    <sheetView workbookViewId="0"/>
  </sheetViews>
  <sheetFormatPr defaultRowHeight="15" x14ac:dyDescent="0.25"/>
  <cols>
    <col min="1" max="1" width="17.28515625" bestFit="1" customWidth="1"/>
    <col min="2" max="4" width="8" bestFit="1" customWidth="1"/>
  </cols>
  <sheetData>
    <row r="1" spans="1:4" x14ac:dyDescent="0.25">
      <c r="A1" t="s">
        <v>0</v>
      </c>
      <c r="B1" t="s">
        <v>15</v>
      </c>
      <c r="C1" t="s">
        <v>16</v>
      </c>
      <c r="D1" t="s">
        <v>17</v>
      </c>
    </row>
    <row r="2" spans="1:4" x14ac:dyDescent="0.25">
      <c r="A2" s="1">
        <v>46024</v>
      </c>
      <c r="B2">
        <v>1.37235</v>
      </c>
      <c r="C2">
        <v>0.85094999999999998</v>
      </c>
      <c r="D2">
        <v>0.74075000000000002</v>
      </c>
    </row>
    <row r="3" spans="1:4" x14ac:dyDescent="0.25">
      <c r="A3" s="1">
        <v>46027</v>
      </c>
      <c r="B3">
        <v>1.3748499999999999</v>
      </c>
      <c r="C3">
        <v>0.85435000000000005</v>
      </c>
      <c r="D3">
        <v>0.74055000000000004</v>
      </c>
    </row>
    <row r="4" spans="1:4" x14ac:dyDescent="0.25">
      <c r="A4" s="1">
        <v>46028</v>
      </c>
      <c r="B4">
        <v>1.3785000000000001</v>
      </c>
      <c r="C4">
        <v>0.85499999999999998</v>
      </c>
      <c r="D4">
        <v>0.74039999999999995</v>
      </c>
    </row>
    <row r="5" spans="1:4" x14ac:dyDescent="0.25">
      <c r="A5" s="1">
        <v>46029</v>
      </c>
      <c r="B5">
        <v>1.3812500000000001</v>
      </c>
      <c r="C5">
        <v>0.85550000000000004</v>
      </c>
      <c r="D5">
        <v>0.74185000000000001</v>
      </c>
    </row>
    <row r="6" spans="1:4" x14ac:dyDescent="0.25">
      <c r="A6" s="1">
        <v>46030</v>
      </c>
      <c r="B6">
        <v>1.38595</v>
      </c>
      <c r="C6">
        <v>0.85714999999999997</v>
      </c>
      <c r="D6">
        <v>0.74395</v>
      </c>
    </row>
    <row r="7" spans="1:4" x14ac:dyDescent="0.25">
      <c r="A7" s="1">
        <v>46031</v>
      </c>
      <c r="B7">
        <v>1.3889</v>
      </c>
      <c r="C7">
        <v>0.85904999999999998</v>
      </c>
      <c r="D7">
        <v>0.74524999999999997</v>
      </c>
    </row>
    <row r="8" spans="1:4" x14ac:dyDescent="0.25">
      <c r="A8" s="1">
        <v>46034</v>
      </c>
      <c r="B8">
        <v>1.3873500000000001</v>
      </c>
      <c r="C8">
        <v>0.85599999999999998</v>
      </c>
      <c r="D8">
        <v>0.74209999999999998</v>
      </c>
    </row>
    <row r="9" spans="1:4" x14ac:dyDescent="0.25">
      <c r="A9" s="1">
        <v>46035</v>
      </c>
      <c r="B9">
        <v>1.38795</v>
      </c>
      <c r="C9">
        <v>0.85829999999999995</v>
      </c>
      <c r="D9">
        <v>0.74419999999999997</v>
      </c>
    </row>
    <row r="10" spans="1:4" x14ac:dyDescent="0.25">
      <c r="A10" s="1">
        <v>46036</v>
      </c>
      <c r="B10">
        <v>1.38805</v>
      </c>
      <c r="C10">
        <v>0.85765000000000002</v>
      </c>
      <c r="D10">
        <v>0.74314999999999998</v>
      </c>
    </row>
    <row r="11" spans="1:4" x14ac:dyDescent="0.25">
      <c r="A11" s="1">
        <v>46037</v>
      </c>
      <c r="B11">
        <v>1.3892500000000001</v>
      </c>
      <c r="C11">
        <v>0.8619</v>
      </c>
      <c r="D11">
        <v>0.74709999999999999</v>
      </c>
    </row>
    <row r="12" spans="1:4" x14ac:dyDescent="0.25">
      <c r="A12" s="1">
        <v>46038</v>
      </c>
      <c r="B12">
        <v>1.3913</v>
      </c>
      <c r="C12">
        <v>0.86245000000000005</v>
      </c>
      <c r="D12">
        <v>0.74734999999999996</v>
      </c>
    </row>
    <row r="13" spans="1:4" x14ac:dyDescent="0.25">
      <c r="A13" s="1">
        <v>46041</v>
      </c>
      <c r="B13">
        <v>1.3865499999999999</v>
      </c>
      <c r="C13">
        <v>0.85909999999999997</v>
      </c>
      <c r="D13">
        <v>0.74504999999999999</v>
      </c>
    </row>
    <row r="14" spans="1:4" x14ac:dyDescent="0.25">
      <c r="A14" s="1">
        <v>46042</v>
      </c>
      <c r="B14">
        <v>1.3831500000000001</v>
      </c>
      <c r="C14">
        <v>0.85265000000000002</v>
      </c>
      <c r="D14">
        <v>0.74304999999999999</v>
      </c>
    </row>
    <row r="15" spans="1:4" x14ac:dyDescent="0.25">
      <c r="A15" s="1">
        <v>46043</v>
      </c>
      <c r="B15">
        <v>1.3797999999999999</v>
      </c>
      <c r="C15">
        <v>0.85455000000000003</v>
      </c>
      <c r="D15">
        <v>0.74475000000000002</v>
      </c>
    </row>
    <row r="16" spans="1:4" x14ac:dyDescent="0.25">
      <c r="A16" s="1">
        <v>46044</v>
      </c>
      <c r="B16">
        <v>1.38025</v>
      </c>
      <c r="C16">
        <v>0.85229999999999995</v>
      </c>
      <c r="D16">
        <v>0.7419</v>
      </c>
    </row>
    <row r="17" spans="1:4" x14ac:dyDescent="0.25">
      <c r="A17" s="1">
        <v>46045</v>
      </c>
      <c r="B17">
        <v>1.37355</v>
      </c>
      <c r="C17">
        <v>0.85050000000000003</v>
      </c>
      <c r="D17">
        <v>0.73724999999999996</v>
      </c>
    </row>
    <row r="18" spans="1:4" x14ac:dyDescent="0.25">
      <c r="A18" s="1">
        <v>46048</v>
      </c>
      <c r="B18">
        <v>1.36805</v>
      </c>
      <c r="C18">
        <v>0.84065000000000001</v>
      </c>
      <c r="D18">
        <v>0.72955000000000003</v>
      </c>
    </row>
    <row r="19" spans="1:4" x14ac:dyDescent="0.25">
      <c r="A19" s="1">
        <v>46049</v>
      </c>
      <c r="B19">
        <v>1.3610500000000001</v>
      </c>
      <c r="C19">
        <v>0.8367</v>
      </c>
      <c r="D19">
        <v>0.72719999999999996</v>
      </c>
    </row>
    <row r="20" spans="1:4" x14ac:dyDescent="0.25">
      <c r="A20" s="1">
        <v>46050</v>
      </c>
      <c r="B20">
        <v>1.35595</v>
      </c>
      <c r="C20">
        <v>0.83725000000000005</v>
      </c>
      <c r="D20">
        <v>0.72514999999999996</v>
      </c>
    </row>
    <row r="21" spans="1:4" x14ac:dyDescent="0.25">
      <c r="A21" s="1">
        <v>46051</v>
      </c>
      <c r="B21">
        <v>1.35555</v>
      </c>
      <c r="C21">
        <v>0.83830000000000005</v>
      </c>
      <c r="D21">
        <v>0.72650000000000003</v>
      </c>
    </row>
    <row r="22" spans="1:4" x14ac:dyDescent="0.25">
      <c r="A22" s="1">
        <v>46052</v>
      </c>
      <c r="B22">
        <v>1.35415</v>
      </c>
      <c r="C22">
        <v>0.84055000000000002</v>
      </c>
      <c r="D22">
        <v>0.72875000000000001</v>
      </c>
    </row>
    <row r="23" spans="1:4" x14ac:dyDescent="0.25">
      <c r="A23" s="1">
        <v>46055</v>
      </c>
      <c r="B23">
        <v>1.3692</v>
      </c>
      <c r="C23">
        <v>0.84804999999999997</v>
      </c>
      <c r="D23">
        <v>0.73380000000000001</v>
      </c>
    </row>
    <row r="24" spans="1:4" x14ac:dyDescent="0.25">
      <c r="A24" s="1">
        <v>46056</v>
      </c>
      <c r="B24">
        <v>1.3652500000000001</v>
      </c>
      <c r="C24">
        <v>0.84650000000000003</v>
      </c>
      <c r="D24">
        <v>0.72975000000000001</v>
      </c>
    </row>
    <row r="25" spans="1:4" x14ac:dyDescent="0.25">
      <c r="A25" s="1">
        <v>46057</v>
      </c>
      <c r="B25">
        <v>1.3672500000000001</v>
      </c>
      <c r="C25">
        <v>0.84775</v>
      </c>
      <c r="D25">
        <v>0.73180000000000001</v>
      </c>
    </row>
    <row r="26" spans="1:4" x14ac:dyDescent="0.25">
      <c r="A26" s="1">
        <v>46058</v>
      </c>
      <c r="B26">
        <v>1.3685499999999999</v>
      </c>
      <c r="C26">
        <v>0.84799999999999998</v>
      </c>
      <c r="D26">
        <v>0.73929999999999996</v>
      </c>
    </row>
    <row r="27" spans="1:4" x14ac:dyDescent="0.25">
      <c r="A27" s="1">
        <v>46059</v>
      </c>
      <c r="B27">
        <v>1.36355</v>
      </c>
      <c r="C27">
        <v>0.84604999999999997</v>
      </c>
      <c r="D27">
        <v>0.73455000000000004</v>
      </c>
    </row>
    <row r="28" spans="1:4" x14ac:dyDescent="0.25">
      <c r="A28" s="1">
        <v>46062</v>
      </c>
      <c r="B28">
        <v>1.3572500000000001</v>
      </c>
      <c r="C28">
        <v>0.83945000000000003</v>
      </c>
      <c r="D28">
        <v>0.73099999999999998</v>
      </c>
    </row>
    <row r="29" spans="1:4" x14ac:dyDescent="0.25">
      <c r="A29" s="1">
        <v>46063</v>
      </c>
      <c r="B29">
        <v>1.3525499999999999</v>
      </c>
      <c r="C29">
        <v>0.83935000000000004</v>
      </c>
      <c r="D29">
        <v>0.73129999999999995</v>
      </c>
    </row>
    <row r="30" spans="1:4" x14ac:dyDescent="0.25">
      <c r="A30" s="1">
        <v>46064</v>
      </c>
      <c r="B30">
        <v>1.3607</v>
      </c>
      <c r="C30">
        <v>0.84319999999999995</v>
      </c>
      <c r="D30">
        <v>0.73355000000000004</v>
      </c>
    </row>
    <row r="31" spans="1:4" x14ac:dyDescent="0.25">
      <c r="A31" s="1">
        <v>46065</v>
      </c>
      <c r="B31">
        <v>1.3599000000000001</v>
      </c>
      <c r="C31">
        <v>0.84140000000000004</v>
      </c>
      <c r="D31">
        <v>0.73234999999999995</v>
      </c>
    </row>
    <row r="32" spans="1:4" x14ac:dyDescent="0.25">
      <c r="A32" s="1">
        <v>46066</v>
      </c>
      <c r="B32">
        <v>1.3633500000000001</v>
      </c>
      <c r="C32">
        <v>0.84389999999999998</v>
      </c>
      <c r="D32">
        <v>0.73460000000000003</v>
      </c>
    </row>
    <row r="33" spans="1:4" x14ac:dyDescent="0.25">
      <c r="A33" s="1">
        <v>46069</v>
      </c>
      <c r="B33">
        <v>1.3629</v>
      </c>
      <c r="C33">
        <v>0.84355000000000002</v>
      </c>
      <c r="D33">
        <v>0.73355000000000004</v>
      </c>
    </row>
    <row r="34" spans="1:4" x14ac:dyDescent="0.25">
      <c r="A34" s="1">
        <v>46070</v>
      </c>
      <c r="B34">
        <v>1.36835</v>
      </c>
      <c r="C34">
        <v>0.84665000000000001</v>
      </c>
      <c r="D34">
        <v>0.74055000000000004</v>
      </c>
    </row>
    <row r="35" spans="1:4" x14ac:dyDescent="0.25">
      <c r="A35" s="1">
        <v>46071</v>
      </c>
      <c r="B35">
        <v>1.3666499999999999</v>
      </c>
      <c r="C35">
        <v>0.84589999999999999</v>
      </c>
      <c r="D35">
        <v>0.73824999999999996</v>
      </c>
    </row>
    <row r="36" spans="1:4" x14ac:dyDescent="0.25">
      <c r="A36" s="1">
        <v>46072</v>
      </c>
      <c r="B36">
        <v>1.36835</v>
      </c>
      <c r="C36">
        <v>0.85014999999999996</v>
      </c>
      <c r="D36">
        <v>0.74324999999999997</v>
      </c>
    </row>
    <row r="37" spans="1:4" x14ac:dyDescent="0.25">
      <c r="A37" s="1">
        <v>46073</v>
      </c>
      <c r="B37">
        <v>1.36785</v>
      </c>
      <c r="C37">
        <v>0.84840000000000004</v>
      </c>
      <c r="D37">
        <v>0.74070000000000003</v>
      </c>
    </row>
    <row r="38" spans="1:4" x14ac:dyDescent="0.25">
      <c r="A38" s="1">
        <v>46076</v>
      </c>
      <c r="B38">
        <v>1.3687499999999999</v>
      </c>
      <c r="C38">
        <v>0.84784999999999999</v>
      </c>
      <c r="D38">
        <v>0.74099999999999999</v>
      </c>
    </row>
    <row r="39" spans="1:4" x14ac:dyDescent="0.25">
      <c r="A39" s="1">
        <v>46077</v>
      </c>
      <c r="B39">
        <v>1.3714500000000001</v>
      </c>
      <c r="C39">
        <v>0.84935000000000005</v>
      </c>
      <c r="D39">
        <v>0.7399</v>
      </c>
    </row>
    <row r="40" spans="1:4" x14ac:dyDescent="0.25">
      <c r="A40" s="1">
        <v>46078</v>
      </c>
      <c r="B40">
        <v>1.36825</v>
      </c>
      <c r="C40">
        <v>0.84735000000000005</v>
      </c>
      <c r="D40">
        <v>0.73885000000000001</v>
      </c>
    </row>
    <row r="41" spans="1:4" x14ac:dyDescent="0.25">
      <c r="A41" s="1">
        <v>46079</v>
      </c>
      <c r="B41">
        <v>1.3684499999999999</v>
      </c>
      <c r="C41">
        <v>0.84755000000000003</v>
      </c>
      <c r="D41">
        <v>0.74004999999999999</v>
      </c>
    </row>
    <row r="42" spans="1:4" x14ac:dyDescent="0.25">
      <c r="A42" s="1">
        <v>46080</v>
      </c>
      <c r="B42">
        <v>1.36385</v>
      </c>
      <c r="C42">
        <v>0.84694999999999998</v>
      </c>
      <c r="D42">
        <v>0.74380000000000002</v>
      </c>
    </row>
    <row r="43" spans="1:4" x14ac:dyDescent="0.25">
      <c r="A43" s="1">
        <v>46083</v>
      </c>
      <c r="B43">
        <v>1.37025</v>
      </c>
      <c r="C43">
        <v>0.85614999999999997</v>
      </c>
      <c r="D43">
        <v>0.74785000000000001</v>
      </c>
    </row>
    <row r="44" spans="1:4" x14ac:dyDescent="0.25">
      <c r="A44" s="1">
        <v>46084</v>
      </c>
      <c r="B44">
        <v>1.3704499999999999</v>
      </c>
      <c r="C44">
        <v>0.86404999999999998</v>
      </c>
      <c r="D44">
        <v>0.75175000000000003</v>
      </c>
    </row>
    <row r="45" spans="1:4" x14ac:dyDescent="0.25">
      <c r="A45" s="1">
        <v>46085</v>
      </c>
      <c r="B45">
        <v>1.36595</v>
      </c>
      <c r="C45">
        <v>0.85914999999999997</v>
      </c>
      <c r="D45">
        <v>0.74819999999999998</v>
      </c>
    </row>
    <row r="46" spans="1:4" x14ac:dyDescent="0.25">
      <c r="A46" s="1">
        <v>46086</v>
      </c>
      <c r="B46">
        <v>1.36835</v>
      </c>
      <c r="C46">
        <v>0.86339999999999995</v>
      </c>
      <c r="D46">
        <v>0.75065000000000004</v>
      </c>
    </row>
    <row r="47" spans="1:4" x14ac:dyDescent="0.25">
      <c r="A47" s="1">
        <v>46087</v>
      </c>
      <c r="B47">
        <v>1.3625499999999999</v>
      </c>
      <c r="C47">
        <v>0.86370000000000002</v>
      </c>
      <c r="D47">
        <v>0.74855000000000005</v>
      </c>
    </row>
    <row r="48" spans="1:4" x14ac:dyDescent="0.25">
      <c r="A48" s="1">
        <v>46090</v>
      </c>
      <c r="B48">
        <v>1.35745</v>
      </c>
      <c r="C48">
        <v>0.86260000000000003</v>
      </c>
      <c r="D48">
        <v>0.74660000000000004</v>
      </c>
    </row>
    <row r="49" spans="1:4" x14ac:dyDescent="0.25">
      <c r="A49" s="1">
        <v>46091</v>
      </c>
      <c r="B49">
        <v>1.3565</v>
      </c>
      <c r="C49">
        <v>0.85860000000000003</v>
      </c>
      <c r="D49">
        <v>0.74314999999999998</v>
      </c>
    </row>
    <row r="50" spans="1:4" x14ac:dyDescent="0.25">
      <c r="A50" s="1">
        <v>46092</v>
      </c>
      <c r="B50">
        <v>1.36025</v>
      </c>
      <c r="C50">
        <v>0.86455000000000004</v>
      </c>
      <c r="D50">
        <v>0.74634999999999996</v>
      </c>
    </row>
    <row r="51" spans="1:4" x14ac:dyDescent="0.25">
      <c r="A51" s="1">
        <v>46093</v>
      </c>
      <c r="B51">
        <v>1.36195</v>
      </c>
      <c r="C51">
        <v>0.86785000000000001</v>
      </c>
      <c r="D51">
        <v>0.74914999999999998</v>
      </c>
    </row>
    <row r="52" spans="1:4" x14ac:dyDescent="0.25">
      <c r="A52" s="1">
        <v>46094</v>
      </c>
      <c r="B52">
        <v>1.37365</v>
      </c>
      <c r="C52">
        <v>0.87380000000000002</v>
      </c>
      <c r="D52">
        <v>0.75534999999999997</v>
      </c>
    </row>
    <row r="53" spans="1:4" x14ac:dyDescent="0.25">
      <c r="A53" s="1">
        <v>46097</v>
      </c>
      <c r="B53">
        <v>1.3685</v>
      </c>
      <c r="C53">
        <v>0.87070000000000003</v>
      </c>
      <c r="D53">
        <v>0.75180000000000002</v>
      </c>
    </row>
    <row r="54" spans="1:4" x14ac:dyDescent="0.25">
      <c r="A54" s="1">
        <v>46098</v>
      </c>
      <c r="B54">
        <v>1.3708499999999999</v>
      </c>
      <c r="C54">
        <v>0.86775000000000002</v>
      </c>
      <c r="D54">
        <v>0.74955000000000005</v>
      </c>
    </row>
    <row r="55" spans="1:4" x14ac:dyDescent="0.25">
      <c r="A55" s="1">
        <v>46099</v>
      </c>
      <c r="B55">
        <v>1.36985</v>
      </c>
      <c r="C55">
        <v>0.86865000000000003</v>
      </c>
      <c r="D55">
        <v>0.75065000000000004</v>
      </c>
    </row>
    <row r="56" spans="1:4" x14ac:dyDescent="0.25">
      <c r="A56" s="1">
        <v>46100</v>
      </c>
      <c r="B56">
        <v>1.37235</v>
      </c>
      <c r="C56">
        <v>0.86855000000000004</v>
      </c>
      <c r="D56">
        <v>0.74860000000000004</v>
      </c>
    </row>
    <row r="57" spans="1:4" x14ac:dyDescent="0.25">
      <c r="A57" s="1">
        <v>46101</v>
      </c>
      <c r="B57">
        <v>1.3733</v>
      </c>
      <c r="C57">
        <v>0.86614999999999998</v>
      </c>
      <c r="D57">
        <v>0.75170000000000003</v>
      </c>
    </row>
    <row r="58" spans="1:4" x14ac:dyDescent="0.25">
      <c r="A58" s="1">
        <v>46104</v>
      </c>
      <c r="B58">
        <v>1.3717999999999999</v>
      </c>
      <c r="C58">
        <v>0.86314999999999997</v>
      </c>
      <c r="D58">
        <v>0.74709999999999999</v>
      </c>
    </row>
    <row r="59" spans="1:4" x14ac:dyDescent="0.25">
      <c r="A59" s="1">
        <v>46105</v>
      </c>
      <c r="B59">
        <v>1.3765499999999999</v>
      </c>
      <c r="C59">
        <v>0.86370000000000002</v>
      </c>
      <c r="D59">
        <v>0.74734999999999996</v>
      </c>
    </row>
    <row r="60" spans="1:4" x14ac:dyDescent="0.25">
      <c r="A60" s="1">
        <v>46106</v>
      </c>
      <c r="B60">
        <v>1.37995</v>
      </c>
      <c r="C60">
        <v>0.86429999999999996</v>
      </c>
      <c r="D60">
        <v>0.74785000000000001</v>
      </c>
    </row>
    <row r="61" spans="1:4" x14ac:dyDescent="0.25">
      <c r="A61" s="1">
        <v>46107</v>
      </c>
      <c r="B61">
        <v>1.3851500000000001</v>
      </c>
      <c r="C61">
        <v>0.86650000000000005</v>
      </c>
      <c r="D61">
        <v>0.749</v>
      </c>
    </row>
    <row r="62" spans="1:4" x14ac:dyDescent="0.25">
      <c r="A62" s="1">
        <v>46108</v>
      </c>
      <c r="B62">
        <v>1.3882000000000001</v>
      </c>
      <c r="C62">
        <v>0.86804999999999999</v>
      </c>
      <c r="D62">
        <v>0.75239999999999996</v>
      </c>
    </row>
    <row r="63" spans="1:4" x14ac:dyDescent="0.25">
      <c r="A63" s="1">
        <v>46111</v>
      </c>
      <c r="B63">
        <v>1.39205</v>
      </c>
      <c r="C63">
        <v>0.87219999999999998</v>
      </c>
      <c r="D63">
        <v>0.75765000000000005</v>
      </c>
    </row>
    <row r="64" spans="1:4" x14ac:dyDescent="0.25">
      <c r="A64" s="1">
        <v>46112</v>
      </c>
      <c r="B64">
        <v>1.3955500000000001</v>
      </c>
      <c r="C64">
        <v>0.8679</v>
      </c>
      <c r="D64">
        <v>0.75829999999999997</v>
      </c>
    </row>
    <row r="65" spans="1:4" x14ac:dyDescent="0.25">
      <c r="A65" s="1">
        <v>46113</v>
      </c>
      <c r="B65">
        <v>1.3886000000000001</v>
      </c>
      <c r="C65">
        <v>0.86029999999999995</v>
      </c>
      <c r="D65">
        <v>0.74995000000000001</v>
      </c>
    </row>
    <row r="66" spans="1:4" x14ac:dyDescent="0.25">
      <c r="A66" s="1">
        <v>46114</v>
      </c>
      <c r="B66">
        <v>1.39235</v>
      </c>
      <c r="C66">
        <v>0.86570000000000003</v>
      </c>
      <c r="D66">
        <v>0.75505</v>
      </c>
    </row>
    <row r="67" spans="1:4" x14ac:dyDescent="0.25">
      <c r="A67" s="1">
        <v>46119</v>
      </c>
      <c r="B67">
        <v>1.3909499999999999</v>
      </c>
      <c r="C67">
        <v>0.86409999999999998</v>
      </c>
      <c r="D67">
        <v>0.75490000000000002</v>
      </c>
    </row>
    <row r="68" spans="1:4" x14ac:dyDescent="0.25">
      <c r="A68" s="1">
        <v>46120</v>
      </c>
      <c r="B68">
        <v>1.38415</v>
      </c>
      <c r="C68">
        <v>0.85504999999999998</v>
      </c>
      <c r="D68">
        <v>0.74360000000000004</v>
      </c>
    </row>
    <row r="69" spans="1:4" x14ac:dyDescent="0.25">
      <c r="A69" s="1">
        <v>46121</v>
      </c>
      <c r="B69">
        <v>1.38235</v>
      </c>
      <c r="C69">
        <v>0.85585</v>
      </c>
      <c r="D69">
        <v>0.74544999999999995</v>
      </c>
    </row>
    <row r="70" spans="1:4" x14ac:dyDescent="0.25">
      <c r="A70" s="1">
        <v>46122</v>
      </c>
      <c r="B70">
        <v>1.3832</v>
      </c>
      <c r="C70">
        <v>0.85265000000000002</v>
      </c>
      <c r="D70">
        <v>0.74280000000000002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2713-5C1A-49A9-947D-CF2090971C85}">
  <dimension ref="A1:A2"/>
  <sheetViews>
    <sheetView workbookViewId="0"/>
  </sheetViews>
  <sheetFormatPr defaultRowHeight="15" x14ac:dyDescent="0.25"/>
  <cols>
    <col min="1" max="1" width="11.85546875" bestFit="1" customWidth="1"/>
  </cols>
  <sheetData>
    <row r="1" spans="1:1" x14ac:dyDescent="0.25">
      <c r="A1" t="s">
        <v>5</v>
      </c>
    </row>
    <row r="2" spans="1:1" x14ac:dyDescent="0.25">
      <c r="A2" s="1">
        <v>46023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F4A-2F7E-435C-BDF0-B2A754E983A9}">
  <dimension ref="A1:E70"/>
  <sheetViews>
    <sheetView workbookViewId="0"/>
  </sheetViews>
  <sheetFormatPr defaultRowHeight="15" x14ac:dyDescent="0.25"/>
  <cols>
    <col min="1" max="1" width="17.28515625" bestFit="1" customWidth="1"/>
    <col min="2" max="2" width="10.140625" bestFit="1" customWidth="1"/>
    <col min="3" max="3" width="10.5703125" bestFit="1" customWidth="1"/>
    <col min="4" max="4" width="10" bestFit="1" customWidth="1"/>
    <col min="5" max="5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46024</v>
      </c>
      <c r="B2">
        <v>679.25</v>
      </c>
      <c r="C2">
        <v>624.25</v>
      </c>
      <c r="D2">
        <v>210.51</v>
      </c>
      <c r="E2">
        <v>1.37235</v>
      </c>
    </row>
    <row r="3" spans="1:5" x14ac:dyDescent="0.25">
      <c r="A3" s="1">
        <v>46027</v>
      </c>
      <c r="B3">
        <v>693</v>
      </c>
      <c r="C3">
        <v>636.5</v>
      </c>
      <c r="D3">
        <v>213.78</v>
      </c>
      <c r="E3">
        <v>1.3748499999999999</v>
      </c>
    </row>
    <row r="4" spans="1:5" x14ac:dyDescent="0.25">
      <c r="A4" s="1">
        <v>46028</v>
      </c>
      <c r="B4">
        <v>693.75</v>
      </c>
      <c r="C4">
        <v>628.75</v>
      </c>
      <c r="D4">
        <v>207.3</v>
      </c>
      <c r="E4">
        <v>1.3785000000000001</v>
      </c>
    </row>
    <row r="5" spans="1:5" x14ac:dyDescent="0.25">
      <c r="A5" s="1">
        <v>46029</v>
      </c>
      <c r="B5">
        <v>685</v>
      </c>
      <c r="C5">
        <v>615.5</v>
      </c>
      <c r="D5">
        <v>204.42</v>
      </c>
      <c r="E5">
        <v>1.3812500000000001</v>
      </c>
    </row>
    <row r="6" spans="1:5" x14ac:dyDescent="0.25">
      <c r="A6" s="1">
        <v>46030</v>
      </c>
      <c r="B6">
        <v>691</v>
      </c>
      <c r="C6">
        <v>625.25</v>
      </c>
      <c r="E6">
        <v>1.38595</v>
      </c>
    </row>
    <row r="7" spans="1:5" x14ac:dyDescent="0.25">
      <c r="A7" s="1">
        <v>46031</v>
      </c>
      <c r="B7">
        <v>713</v>
      </c>
      <c r="C7">
        <v>645.5</v>
      </c>
      <c r="D7">
        <v>212.5</v>
      </c>
      <c r="E7">
        <v>1.3889</v>
      </c>
    </row>
    <row r="8" spans="1:5" x14ac:dyDescent="0.25">
      <c r="A8" s="1">
        <v>46034</v>
      </c>
      <c r="B8">
        <v>712.75</v>
      </c>
      <c r="C8">
        <v>638.25</v>
      </c>
      <c r="E8">
        <v>1.3873500000000001</v>
      </c>
    </row>
    <row r="9" spans="1:5" x14ac:dyDescent="0.25">
      <c r="A9" s="1">
        <v>46035</v>
      </c>
      <c r="B9">
        <v>743.25</v>
      </c>
      <c r="C9">
        <v>666.75</v>
      </c>
      <c r="D9">
        <v>222.59</v>
      </c>
      <c r="E9">
        <v>1.38795</v>
      </c>
    </row>
    <row r="10" spans="1:5" x14ac:dyDescent="0.25">
      <c r="A10" s="1">
        <v>46036</v>
      </c>
      <c r="B10">
        <v>743.75</v>
      </c>
      <c r="C10">
        <v>671.75</v>
      </c>
      <c r="D10">
        <v>227.19</v>
      </c>
      <c r="E10">
        <v>1.38805</v>
      </c>
    </row>
    <row r="11" spans="1:5" x14ac:dyDescent="0.25">
      <c r="A11" s="1">
        <v>46037</v>
      </c>
      <c r="B11">
        <v>719.75</v>
      </c>
      <c r="C11">
        <v>653.75</v>
      </c>
      <c r="D11">
        <v>219.08</v>
      </c>
      <c r="E11">
        <v>1.3892500000000001</v>
      </c>
    </row>
    <row r="12" spans="1:5" x14ac:dyDescent="0.25">
      <c r="A12" s="1">
        <v>46038</v>
      </c>
      <c r="B12">
        <v>731.75</v>
      </c>
      <c r="C12">
        <v>666.75</v>
      </c>
      <c r="D12">
        <v>222.01</v>
      </c>
      <c r="E12">
        <v>1.3913</v>
      </c>
    </row>
    <row r="13" spans="1:5" x14ac:dyDescent="0.25">
      <c r="A13" s="1">
        <v>46041</v>
      </c>
      <c r="B13">
        <v>726.25</v>
      </c>
      <c r="C13">
        <v>664</v>
      </c>
      <c r="E13">
        <v>1.3865499999999999</v>
      </c>
    </row>
    <row r="14" spans="1:5" x14ac:dyDescent="0.25">
      <c r="A14" s="1">
        <v>46042</v>
      </c>
      <c r="B14">
        <v>736.75</v>
      </c>
      <c r="C14">
        <v>678.5</v>
      </c>
      <c r="D14">
        <v>232.1</v>
      </c>
      <c r="E14">
        <v>1.3831500000000001</v>
      </c>
    </row>
    <row r="15" spans="1:5" x14ac:dyDescent="0.25">
      <c r="A15" s="1">
        <v>46043</v>
      </c>
      <c r="B15">
        <v>749.5</v>
      </c>
      <c r="C15">
        <v>698</v>
      </c>
      <c r="D15">
        <v>241.3</v>
      </c>
      <c r="E15">
        <v>1.3797999999999999</v>
      </c>
    </row>
    <row r="16" spans="1:5" x14ac:dyDescent="0.25">
      <c r="A16" s="1">
        <v>46044</v>
      </c>
      <c r="B16">
        <v>728.5</v>
      </c>
      <c r="C16">
        <v>684</v>
      </c>
      <c r="D16">
        <v>234.93</v>
      </c>
      <c r="E16">
        <v>1.38025</v>
      </c>
    </row>
    <row r="17" spans="1:5" x14ac:dyDescent="0.25">
      <c r="A17" s="1">
        <v>46045</v>
      </c>
      <c r="B17">
        <v>733.5</v>
      </c>
      <c r="C17">
        <v>687.75</v>
      </c>
      <c r="D17">
        <v>241.1</v>
      </c>
      <c r="E17">
        <v>1.37355</v>
      </c>
    </row>
    <row r="18" spans="1:5" x14ac:dyDescent="0.25">
      <c r="A18" s="1">
        <v>46048</v>
      </c>
      <c r="B18">
        <v>734</v>
      </c>
      <c r="C18">
        <v>690</v>
      </c>
      <c r="D18">
        <v>255.05</v>
      </c>
      <c r="E18">
        <v>1.36805</v>
      </c>
    </row>
    <row r="19" spans="1:5" x14ac:dyDescent="0.25">
      <c r="A19" s="1">
        <v>46049</v>
      </c>
      <c r="B19">
        <v>741</v>
      </c>
      <c r="C19">
        <v>692.25</v>
      </c>
      <c r="D19">
        <v>262.87</v>
      </c>
      <c r="E19">
        <v>1.3610500000000001</v>
      </c>
    </row>
    <row r="20" spans="1:5" x14ac:dyDescent="0.25">
      <c r="A20" s="1">
        <v>46050</v>
      </c>
      <c r="B20">
        <v>758.25</v>
      </c>
      <c r="C20">
        <v>706.75</v>
      </c>
      <c r="D20">
        <v>264.86</v>
      </c>
      <c r="E20">
        <v>1.35595</v>
      </c>
    </row>
    <row r="21" spans="1:5" x14ac:dyDescent="0.25">
      <c r="A21" s="1">
        <v>46051</v>
      </c>
      <c r="B21">
        <v>774.25</v>
      </c>
      <c r="C21">
        <v>723</v>
      </c>
      <c r="D21">
        <v>254.79</v>
      </c>
      <c r="E21">
        <v>1.35555</v>
      </c>
    </row>
    <row r="22" spans="1:5" x14ac:dyDescent="0.25">
      <c r="A22" s="1">
        <v>46052</v>
      </c>
      <c r="B22">
        <v>800</v>
      </c>
      <c r="C22">
        <v>754.5</v>
      </c>
      <c r="D22">
        <v>271.3</v>
      </c>
      <c r="E22">
        <v>1.35415</v>
      </c>
    </row>
    <row r="23" spans="1:5" x14ac:dyDescent="0.25">
      <c r="A23" s="1">
        <v>46055</v>
      </c>
      <c r="B23">
        <v>749.25</v>
      </c>
      <c r="C23">
        <v>695.75</v>
      </c>
      <c r="D23">
        <v>248.23</v>
      </c>
      <c r="E23">
        <v>1.3692</v>
      </c>
    </row>
    <row r="24" spans="1:5" x14ac:dyDescent="0.25">
      <c r="A24" s="1">
        <v>46056</v>
      </c>
      <c r="B24">
        <v>760</v>
      </c>
      <c r="C24">
        <v>697.75</v>
      </c>
      <c r="D24">
        <v>253.68</v>
      </c>
      <c r="E24">
        <v>1.3652500000000001</v>
      </c>
    </row>
    <row r="25" spans="1:5" x14ac:dyDescent="0.25">
      <c r="A25" s="1">
        <v>46057</v>
      </c>
      <c r="B25">
        <v>762.25</v>
      </c>
      <c r="C25">
        <v>698.75</v>
      </c>
      <c r="D25">
        <v>265.25</v>
      </c>
      <c r="E25">
        <v>1.3672500000000001</v>
      </c>
    </row>
    <row r="26" spans="1:5" x14ac:dyDescent="0.25">
      <c r="A26" s="1">
        <v>46058</v>
      </c>
      <c r="B26">
        <v>768.75</v>
      </c>
      <c r="C26">
        <v>700.5</v>
      </c>
      <c r="D26">
        <v>248.07</v>
      </c>
      <c r="E26">
        <v>1.3685499999999999</v>
      </c>
    </row>
    <row r="27" spans="1:5" x14ac:dyDescent="0.25">
      <c r="A27" s="1">
        <v>46059</v>
      </c>
      <c r="B27">
        <v>778.25</v>
      </c>
      <c r="C27">
        <v>712.25</v>
      </c>
      <c r="D27">
        <v>256.08</v>
      </c>
      <c r="E27">
        <v>1.36355</v>
      </c>
    </row>
    <row r="28" spans="1:5" x14ac:dyDescent="0.25">
      <c r="A28" s="1">
        <v>46062</v>
      </c>
      <c r="B28">
        <v>771.75</v>
      </c>
      <c r="C28">
        <v>707.25</v>
      </c>
      <c r="D28">
        <v>256.44</v>
      </c>
      <c r="E28">
        <v>1.3572500000000001</v>
      </c>
    </row>
    <row r="29" spans="1:5" x14ac:dyDescent="0.25">
      <c r="A29" s="1">
        <v>46063</v>
      </c>
      <c r="B29">
        <v>761.25</v>
      </c>
      <c r="C29">
        <v>696.75</v>
      </c>
      <c r="D29">
        <v>246.38</v>
      </c>
      <c r="E29">
        <v>1.3525499999999999</v>
      </c>
    </row>
    <row r="30" spans="1:5" x14ac:dyDescent="0.25">
      <c r="A30" s="1">
        <v>46064</v>
      </c>
      <c r="B30">
        <v>775.25</v>
      </c>
      <c r="C30">
        <v>713.75</v>
      </c>
      <c r="D30">
        <v>250.54</v>
      </c>
      <c r="E30">
        <v>1.3607</v>
      </c>
    </row>
    <row r="31" spans="1:5" x14ac:dyDescent="0.25">
      <c r="A31" s="1">
        <v>46065</v>
      </c>
      <c r="B31">
        <v>753.75</v>
      </c>
      <c r="C31">
        <v>692.5</v>
      </c>
      <c r="D31">
        <v>247.52</v>
      </c>
      <c r="E31">
        <v>1.3599000000000001</v>
      </c>
    </row>
    <row r="32" spans="1:5" x14ac:dyDescent="0.25">
      <c r="A32" s="1">
        <v>46066</v>
      </c>
      <c r="B32">
        <v>750.75</v>
      </c>
      <c r="C32">
        <v>690.5</v>
      </c>
      <c r="D32">
        <v>247.04</v>
      </c>
      <c r="E32">
        <v>1.3633500000000001</v>
      </c>
    </row>
    <row r="33" spans="1:5" x14ac:dyDescent="0.25">
      <c r="A33" s="1">
        <v>46069</v>
      </c>
      <c r="B33">
        <v>763.75</v>
      </c>
      <c r="C33">
        <v>695.25</v>
      </c>
      <c r="E33">
        <v>1.3629</v>
      </c>
    </row>
    <row r="34" spans="1:5" x14ac:dyDescent="0.25">
      <c r="A34" s="1">
        <v>46070</v>
      </c>
      <c r="B34">
        <v>761.5</v>
      </c>
      <c r="C34">
        <v>689</v>
      </c>
      <c r="D34">
        <v>243.56</v>
      </c>
      <c r="E34">
        <v>1.36835</v>
      </c>
    </row>
    <row r="35" spans="1:5" x14ac:dyDescent="0.25">
      <c r="A35" s="1">
        <v>46071</v>
      </c>
      <c r="B35">
        <v>784.25</v>
      </c>
      <c r="C35">
        <v>715.25</v>
      </c>
      <c r="D35">
        <v>252.62</v>
      </c>
      <c r="E35">
        <v>1.3666499999999999</v>
      </c>
    </row>
    <row r="36" spans="1:5" x14ac:dyDescent="0.25">
      <c r="A36" s="1">
        <v>46072</v>
      </c>
      <c r="B36">
        <v>808.5</v>
      </c>
      <c r="C36">
        <v>744.5</v>
      </c>
      <c r="D36">
        <v>260.97000000000003</v>
      </c>
      <c r="E36">
        <v>1.36835</v>
      </c>
    </row>
    <row r="37" spans="1:5" x14ac:dyDescent="0.25">
      <c r="A37" s="1">
        <v>46073</v>
      </c>
      <c r="B37">
        <v>808.25</v>
      </c>
      <c r="C37">
        <v>748.75</v>
      </c>
      <c r="D37">
        <v>258.08</v>
      </c>
      <c r="E37">
        <v>1.36785</v>
      </c>
    </row>
    <row r="38" spans="1:5" x14ac:dyDescent="0.25">
      <c r="A38" s="1">
        <v>46076</v>
      </c>
      <c r="B38">
        <v>817</v>
      </c>
      <c r="C38">
        <v>761.25</v>
      </c>
      <c r="D38">
        <v>267.32</v>
      </c>
      <c r="E38">
        <v>1.3687499999999999</v>
      </c>
    </row>
    <row r="39" spans="1:5" x14ac:dyDescent="0.25">
      <c r="A39" s="1">
        <v>46077</v>
      </c>
      <c r="B39">
        <v>800.25</v>
      </c>
      <c r="C39">
        <v>748.5</v>
      </c>
      <c r="D39">
        <v>270.19</v>
      </c>
      <c r="E39">
        <v>1.3714500000000001</v>
      </c>
    </row>
    <row r="40" spans="1:5" x14ac:dyDescent="0.25">
      <c r="A40" s="1">
        <v>46078</v>
      </c>
      <c r="B40">
        <v>798.5</v>
      </c>
      <c r="C40">
        <v>745</v>
      </c>
      <c r="D40">
        <v>268.89999999999998</v>
      </c>
      <c r="E40">
        <v>1.36825</v>
      </c>
    </row>
    <row r="41" spans="1:5" x14ac:dyDescent="0.25">
      <c r="A41" s="1">
        <v>46079</v>
      </c>
      <c r="B41">
        <v>826.75</v>
      </c>
      <c r="C41">
        <v>767.25</v>
      </c>
      <c r="D41">
        <v>262.75</v>
      </c>
      <c r="E41">
        <v>1.3684499999999999</v>
      </c>
    </row>
    <row r="42" spans="1:5" x14ac:dyDescent="0.25">
      <c r="A42" s="1">
        <v>46080</v>
      </c>
      <c r="B42">
        <v>831.25</v>
      </c>
      <c r="C42">
        <v>767.5</v>
      </c>
      <c r="D42">
        <v>268.60000000000002</v>
      </c>
      <c r="E42">
        <v>1.36385</v>
      </c>
    </row>
    <row r="43" spans="1:5" x14ac:dyDescent="0.25">
      <c r="A43" s="1">
        <v>46091</v>
      </c>
      <c r="B43">
        <v>1399.25</v>
      </c>
      <c r="C43">
        <v>1068</v>
      </c>
      <c r="D43">
        <v>340.16</v>
      </c>
      <c r="E43">
        <v>1.3565</v>
      </c>
    </row>
    <row r="44" spans="1:5" x14ac:dyDescent="0.25">
      <c r="A44" s="1">
        <v>46092</v>
      </c>
      <c r="B44">
        <v>1500.75</v>
      </c>
      <c r="C44">
        <v>1142</v>
      </c>
      <c r="D44">
        <v>369.63</v>
      </c>
      <c r="E44">
        <v>1.36025</v>
      </c>
    </row>
    <row r="45" spans="1:5" x14ac:dyDescent="0.25">
      <c r="A45" s="1">
        <v>46093</v>
      </c>
      <c r="B45">
        <v>1630.25</v>
      </c>
      <c r="C45">
        <v>1216</v>
      </c>
      <c r="D45">
        <v>388.64</v>
      </c>
      <c r="E45">
        <v>1.36195</v>
      </c>
    </row>
    <row r="46" spans="1:5" x14ac:dyDescent="0.25">
      <c r="A46" s="1">
        <v>46083</v>
      </c>
      <c r="B46">
        <v>995.25</v>
      </c>
      <c r="C46">
        <v>890.5</v>
      </c>
      <c r="D46">
        <v>299.04000000000002</v>
      </c>
      <c r="E46">
        <v>1.37025</v>
      </c>
    </row>
    <row r="47" spans="1:5" x14ac:dyDescent="0.25">
      <c r="A47" s="1">
        <v>46084</v>
      </c>
      <c r="B47">
        <v>1223.25</v>
      </c>
      <c r="C47">
        <v>1020.75</v>
      </c>
      <c r="D47">
        <v>327.69</v>
      </c>
      <c r="E47">
        <v>1.3704499999999999</v>
      </c>
    </row>
    <row r="48" spans="1:5" x14ac:dyDescent="0.25">
      <c r="A48" s="1">
        <v>46085</v>
      </c>
      <c r="B48">
        <v>1259.75</v>
      </c>
      <c r="C48">
        <v>1012</v>
      </c>
      <c r="D48">
        <v>338.38</v>
      </c>
      <c r="E48">
        <v>1.36595</v>
      </c>
    </row>
    <row r="49" spans="1:5" x14ac:dyDescent="0.25">
      <c r="A49" s="1">
        <v>46086</v>
      </c>
      <c r="B49">
        <v>1462</v>
      </c>
      <c r="C49">
        <v>1135.75</v>
      </c>
      <c r="D49">
        <v>370.43</v>
      </c>
      <c r="E49">
        <v>1.36835</v>
      </c>
    </row>
    <row r="50" spans="1:5" x14ac:dyDescent="0.25">
      <c r="A50" s="1">
        <v>46087</v>
      </c>
      <c r="B50">
        <v>1476.5</v>
      </c>
      <c r="C50">
        <v>1178.25</v>
      </c>
      <c r="D50">
        <v>367.74</v>
      </c>
      <c r="E50">
        <v>1.3625499999999999</v>
      </c>
    </row>
    <row r="51" spans="1:5" x14ac:dyDescent="0.25">
      <c r="A51" s="1">
        <v>46090</v>
      </c>
      <c r="B51">
        <v>1463</v>
      </c>
      <c r="C51">
        <v>1194.75</v>
      </c>
      <c r="D51">
        <v>364.16</v>
      </c>
      <c r="E51">
        <v>1.35745</v>
      </c>
    </row>
    <row r="52" spans="1:5" x14ac:dyDescent="0.25">
      <c r="A52" s="1">
        <v>46094</v>
      </c>
      <c r="B52">
        <v>1607.25</v>
      </c>
      <c r="C52">
        <v>1230</v>
      </c>
      <c r="D52">
        <v>398.97</v>
      </c>
      <c r="E52">
        <v>1.37365</v>
      </c>
    </row>
    <row r="53" spans="1:5" x14ac:dyDescent="0.25">
      <c r="A53" s="1">
        <v>46097</v>
      </c>
      <c r="B53">
        <v>1698</v>
      </c>
      <c r="C53">
        <v>1255.25</v>
      </c>
      <c r="D53">
        <v>381.25</v>
      </c>
      <c r="E53">
        <v>1.3685</v>
      </c>
    </row>
    <row r="54" spans="1:5" x14ac:dyDescent="0.25">
      <c r="A54" s="1">
        <v>46098</v>
      </c>
      <c r="B54">
        <v>1664.5</v>
      </c>
      <c r="C54">
        <v>1259</v>
      </c>
      <c r="D54">
        <v>399.08</v>
      </c>
      <c r="E54">
        <v>1.3708499999999999</v>
      </c>
    </row>
    <row r="55" spans="1:5" x14ac:dyDescent="0.25">
      <c r="A55" s="1">
        <v>46099</v>
      </c>
      <c r="B55">
        <v>1717.75</v>
      </c>
      <c r="C55">
        <v>1364.25</v>
      </c>
      <c r="D55">
        <v>416.53</v>
      </c>
      <c r="E55">
        <v>1.36985</v>
      </c>
    </row>
    <row r="56" spans="1:5" x14ac:dyDescent="0.25">
      <c r="A56" s="1">
        <v>46100</v>
      </c>
      <c r="B56">
        <v>1774.25</v>
      </c>
      <c r="C56">
        <v>1469.75</v>
      </c>
      <c r="D56">
        <v>433.2</v>
      </c>
      <c r="E56">
        <v>1.37235</v>
      </c>
    </row>
    <row r="57" spans="1:5" x14ac:dyDescent="0.25">
      <c r="A57" s="1">
        <v>46101</v>
      </c>
      <c r="B57">
        <v>1720.75</v>
      </c>
      <c r="C57">
        <v>1513.25</v>
      </c>
      <c r="D57">
        <v>459.84</v>
      </c>
      <c r="E57">
        <v>1.3733</v>
      </c>
    </row>
    <row r="58" spans="1:5" x14ac:dyDescent="0.25">
      <c r="A58" s="1">
        <v>46104</v>
      </c>
      <c r="B58">
        <v>1586.25</v>
      </c>
      <c r="C58">
        <v>1397.5</v>
      </c>
      <c r="D58">
        <v>402.6</v>
      </c>
      <c r="E58">
        <v>1.3717999999999999</v>
      </c>
    </row>
    <row r="59" spans="1:5" x14ac:dyDescent="0.25">
      <c r="A59" s="1">
        <v>46105</v>
      </c>
      <c r="B59">
        <v>1558.25</v>
      </c>
      <c r="C59">
        <v>1389</v>
      </c>
      <c r="D59">
        <v>426.09</v>
      </c>
      <c r="E59">
        <v>1.3765499999999999</v>
      </c>
    </row>
    <row r="60" spans="1:5" x14ac:dyDescent="0.25">
      <c r="A60" s="1">
        <v>46106</v>
      </c>
      <c r="B60">
        <v>1457.75</v>
      </c>
      <c r="C60">
        <v>1288</v>
      </c>
      <c r="D60">
        <v>396.38</v>
      </c>
      <c r="E60">
        <v>1.37995</v>
      </c>
    </row>
    <row r="61" spans="1:5" x14ac:dyDescent="0.25">
      <c r="A61" s="1">
        <v>46107</v>
      </c>
      <c r="B61">
        <v>1650.75</v>
      </c>
      <c r="C61">
        <v>1417</v>
      </c>
      <c r="D61">
        <v>420.09</v>
      </c>
      <c r="E61">
        <v>1.3851500000000001</v>
      </c>
    </row>
    <row r="62" spans="1:5" x14ac:dyDescent="0.25">
      <c r="A62" s="1">
        <v>46108</v>
      </c>
      <c r="B62">
        <v>1704.5</v>
      </c>
      <c r="C62">
        <v>1442</v>
      </c>
      <c r="D62">
        <v>446.8</v>
      </c>
      <c r="E62">
        <v>1.3882000000000001</v>
      </c>
    </row>
    <row r="63" spans="1:5" x14ac:dyDescent="0.25">
      <c r="A63" s="1">
        <v>46111</v>
      </c>
      <c r="B63">
        <v>1765.25</v>
      </c>
      <c r="C63">
        <v>1461.75</v>
      </c>
      <c r="D63">
        <v>433.68</v>
      </c>
      <c r="E63">
        <v>1.39205</v>
      </c>
    </row>
    <row r="64" spans="1:5" x14ac:dyDescent="0.25">
      <c r="A64" s="1">
        <v>46112</v>
      </c>
      <c r="B64">
        <v>1725.75</v>
      </c>
      <c r="C64">
        <v>1411.25</v>
      </c>
      <c r="D64">
        <v>413.63</v>
      </c>
      <c r="E64">
        <v>1.3955500000000001</v>
      </c>
    </row>
    <row r="65" spans="1:5" x14ac:dyDescent="0.25">
      <c r="A65" s="1">
        <v>46113</v>
      </c>
      <c r="B65">
        <v>1610.25</v>
      </c>
      <c r="C65">
        <v>1406.5</v>
      </c>
      <c r="D65">
        <v>415.68</v>
      </c>
      <c r="E65">
        <v>1.3886000000000001</v>
      </c>
    </row>
    <row r="66" spans="1:5" x14ac:dyDescent="0.25">
      <c r="A66" s="1">
        <v>46114</v>
      </c>
      <c r="B66">
        <v>1842.5</v>
      </c>
      <c r="C66">
        <v>1617</v>
      </c>
      <c r="D66">
        <v>448.86</v>
      </c>
      <c r="E66">
        <v>1.39235</v>
      </c>
    </row>
    <row r="67" spans="1:5" x14ac:dyDescent="0.25">
      <c r="A67" s="1">
        <v>46119</v>
      </c>
      <c r="B67">
        <v>1776.25</v>
      </c>
      <c r="C67">
        <v>1558.25</v>
      </c>
      <c r="D67">
        <v>460.49</v>
      </c>
      <c r="E67">
        <v>1.3909499999999999</v>
      </c>
    </row>
    <row r="68" spans="1:5" x14ac:dyDescent="0.25">
      <c r="A68" s="1">
        <v>46120</v>
      </c>
      <c r="B68">
        <v>1485.75</v>
      </c>
      <c r="C68">
        <v>1280</v>
      </c>
      <c r="D68">
        <v>388.59</v>
      </c>
      <c r="E68">
        <v>1.38415</v>
      </c>
    </row>
    <row r="69" spans="1:5" x14ac:dyDescent="0.25">
      <c r="A69" s="1">
        <v>46121</v>
      </c>
      <c r="B69">
        <v>1580.25</v>
      </c>
      <c r="C69">
        <v>1425</v>
      </c>
      <c r="D69">
        <v>398.95</v>
      </c>
      <c r="E69">
        <v>1.38235</v>
      </c>
    </row>
    <row r="70" spans="1:5" x14ac:dyDescent="0.25">
      <c r="A70" s="1">
        <v>46122</v>
      </c>
      <c r="B70">
        <v>1469.5</v>
      </c>
      <c r="C70">
        <v>1335</v>
      </c>
      <c r="D70">
        <v>378.41</v>
      </c>
      <c r="E70">
        <v>1.3832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4BA2-EBC7-4EB0-8933-1F413F9F2AEA}">
  <dimension ref="A1:T132"/>
  <sheetViews>
    <sheetView tabSelected="1" workbookViewId="0">
      <selection activeCell="H16" sqref="H16"/>
    </sheetView>
  </sheetViews>
  <sheetFormatPr defaultRowHeight="15" x14ac:dyDescent="0.25"/>
  <cols>
    <col min="1" max="1" width="10.42578125" style="1" bestFit="1" customWidth="1"/>
    <col min="10" max="20" width="9.140625" style="2"/>
  </cols>
  <sheetData>
    <row r="1" spans="1:19" x14ac:dyDescent="0.25">
      <c r="A1" s="1" t="s">
        <v>18</v>
      </c>
      <c r="B1" t="s">
        <v>39</v>
      </c>
      <c r="C1" t="s">
        <v>40</v>
      </c>
      <c r="D1" t="s">
        <v>34</v>
      </c>
      <c r="F1" t="s">
        <v>41</v>
      </c>
      <c r="G1" t="s">
        <v>42</v>
      </c>
      <c r="H1" t="s">
        <v>43</v>
      </c>
      <c r="J1" s="2" t="s">
        <v>40</v>
      </c>
      <c r="K1" s="2">
        <v>0.78060214823393115</v>
      </c>
    </row>
    <row r="2" spans="1:19" x14ac:dyDescent="0.25">
      <c r="A2" s="1">
        <v>46113</v>
      </c>
      <c r="B2">
        <v>94.79</v>
      </c>
      <c r="C2">
        <v>0.84210212903225812</v>
      </c>
      <c r="D2">
        <f>10+B2/C2*1.38</f>
        <v>165.33769063180827</v>
      </c>
      <c r="G2">
        <v>0.5</v>
      </c>
      <c r="H2">
        <v>-0.3</v>
      </c>
      <c r="N2" s="2" t="s">
        <v>37</v>
      </c>
      <c r="O2" s="2">
        <v>170</v>
      </c>
    </row>
    <row r="3" spans="1:19" x14ac:dyDescent="0.25">
      <c r="A3" s="1">
        <v>46143</v>
      </c>
      <c r="B3">
        <f>MAX(0,ROUND(B2*(1+G3),2))</f>
        <v>113.75</v>
      </c>
      <c r="C3">
        <v>0.84210212903225812</v>
      </c>
      <c r="D3">
        <f t="shared" ref="D3:D22" si="0">10+B3/C3*1.38</f>
        <v>196.40850627036806</v>
      </c>
      <c r="G3">
        <f>G2+H3</f>
        <v>0.2</v>
      </c>
      <c r="H3">
        <f>H2</f>
        <v>-0.3</v>
      </c>
      <c r="R3" s="2">
        <v>0.78060214823393115</v>
      </c>
      <c r="S3" s="2">
        <f>1/R3</f>
        <v>1.281062321263712</v>
      </c>
    </row>
    <row r="4" spans="1:19" x14ac:dyDescent="0.25">
      <c r="A4" s="1">
        <v>46174</v>
      </c>
      <c r="B4">
        <f>MAX(0,ROUND(B3*(1+G4),2))</f>
        <v>130.81</v>
      </c>
      <c r="C4">
        <v>0.84210212903225812</v>
      </c>
      <c r="D4">
        <f t="shared" si="0"/>
        <v>224.3656853206756</v>
      </c>
      <c r="G4">
        <v>0.15</v>
      </c>
      <c r="H4">
        <f t="shared" ref="H4:H22" si="1">H3</f>
        <v>-0.3</v>
      </c>
      <c r="O4" s="2" t="s">
        <v>38</v>
      </c>
      <c r="P4" s="2" t="s">
        <v>39</v>
      </c>
      <c r="Q4" s="2">
        <v>1.3587</v>
      </c>
    </row>
    <row r="5" spans="1:19" x14ac:dyDescent="0.25">
      <c r="A5" s="1">
        <v>46204</v>
      </c>
      <c r="B5">
        <v>142</v>
      </c>
      <c r="C5">
        <v>0.84210212903225812</v>
      </c>
      <c r="D5">
        <f t="shared" si="0"/>
        <v>242.70336606938258</v>
      </c>
      <c r="G5">
        <f t="shared" ref="G5:G68" si="2">G4+H5</f>
        <v>0.13999999999999999</v>
      </c>
      <c r="H5">
        <v>-0.01</v>
      </c>
      <c r="O5" s="2">
        <v>10</v>
      </c>
      <c r="P5" s="2">
        <v>17.41</v>
      </c>
      <c r="Q5" s="2">
        <f>O5*Q$4</f>
        <v>13.587</v>
      </c>
      <c r="R5" s="2">
        <f>P5/Q5</f>
        <v>1.2813718996099213</v>
      </c>
      <c r="S5" s="2">
        <f>1/R5</f>
        <v>0.78041355542791502</v>
      </c>
    </row>
    <row r="6" spans="1:19" x14ac:dyDescent="0.25">
      <c r="A6" s="1">
        <v>46235</v>
      </c>
      <c r="B6">
        <v>149.12</v>
      </c>
      <c r="C6">
        <v>0.84210212903225812</v>
      </c>
      <c r="D6">
        <f t="shared" si="0"/>
        <v>254.37130949483327</v>
      </c>
      <c r="G6">
        <v>0.01</v>
      </c>
      <c r="H6">
        <f t="shared" si="1"/>
        <v>-0.01</v>
      </c>
      <c r="O6" s="2">
        <v>77.319999999999993</v>
      </c>
      <c r="P6" s="2">
        <v>94.79</v>
      </c>
      <c r="Q6" s="2">
        <f>O6*Q$4</f>
        <v>105.05468399999999</v>
      </c>
      <c r="R6" s="2">
        <f t="shared" ref="R6:R8" si="3">P6/Q6</f>
        <v>0.90229199109294367</v>
      </c>
      <c r="S6" s="2">
        <f>P6/R5</f>
        <v>73.97540091901206</v>
      </c>
    </row>
    <row r="7" spans="1:19" x14ac:dyDescent="0.25">
      <c r="A7" s="1">
        <v>46266</v>
      </c>
      <c r="B7">
        <v>150.61000000000001</v>
      </c>
      <c r="C7">
        <v>0.84210212903225812</v>
      </c>
      <c r="D7">
        <f t="shared" si="0"/>
        <v>256.81305608246271</v>
      </c>
      <c r="G7">
        <f t="shared" si="2"/>
        <v>9.4999999999999998E-3</v>
      </c>
      <c r="H7">
        <v>-5.0000000000000001E-4</v>
      </c>
      <c r="O7" s="2">
        <v>20</v>
      </c>
      <c r="P7" s="2">
        <v>34.81</v>
      </c>
      <c r="Q7" s="2">
        <f t="shared" ref="Q7:Q8" si="4">O7*Q$4</f>
        <v>27.173999999999999</v>
      </c>
      <c r="R7" s="2">
        <f>P7/Q7</f>
        <v>1.2810039007875176</v>
      </c>
    </row>
    <row r="8" spans="1:19" x14ac:dyDescent="0.25">
      <c r="A8" s="1">
        <v>46296</v>
      </c>
      <c r="B8">
        <v>149.1</v>
      </c>
      <c r="C8">
        <v>0.84210212903225812</v>
      </c>
      <c r="D8">
        <f t="shared" si="0"/>
        <v>254.33853437285168</v>
      </c>
      <c r="G8">
        <f t="shared" si="2"/>
        <v>8.9999999999999993E-3</v>
      </c>
      <c r="H8">
        <f t="shared" si="1"/>
        <v>-5.0000000000000001E-4</v>
      </c>
      <c r="O8" s="2">
        <v>30</v>
      </c>
      <c r="P8" s="2">
        <v>52.22</v>
      </c>
      <c r="Q8" s="2">
        <f t="shared" si="4"/>
        <v>40.761000000000003</v>
      </c>
      <c r="R8" s="2">
        <f t="shared" si="3"/>
        <v>1.2811265670616518</v>
      </c>
    </row>
    <row r="9" spans="1:19" x14ac:dyDescent="0.25">
      <c r="A9" s="1">
        <v>46327</v>
      </c>
      <c r="B9">
        <v>146.12</v>
      </c>
      <c r="C9">
        <f>$C$8+(COUNT($B$9:B9)*($S$3-$C$8)/14)</f>
        <v>0.87345642847736193</v>
      </c>
      <c r="D9">
        <f t="shared" si="0"/>
        <v>240.8593690832584</v>
      </c>
      <c r="G9">
        <f t="shared" si="2"/>
        <v>8.4999999999999989E-3</v>
      </c>
      <c r="H9">
        <f t="shared" si="1"/>
        <v>-5.0000000000000001E-4</v>
      </c>
      <c r="P9" s="2">
        <v>94.79</v>
      </c>
      <c r="R9" s="2">
        <v>155</v>
      </c>
      <c r="S9" s="2">
        <v>1.377</v>
      </c>
    </row>
    <row r="10" spans="1:19" x14ac:dyDescent="0.25">
      <c r="A10" s="1">
        <v>46357</v>
      </c>
      <c r="B10">
        <v>141.74</v>
      </c>
      <c r="C10">
        <f>$C$8+(COUNT($B$9:B10)*($S$3-$C$8)/14)</f>
        <v>0.90481072792246586</v>
      </c>
      <c r="D10">
        <f t="shared" si="0"/>
        <v>226.17913444629411</v>
      </c>
      <c r="G10">
        <f t="shared" si="2"/>
        <v>7.9999999999999984E-3</v>
      </c>
      <c r="H10">
        <f t="shared" si="1"/>
        <v>-5.0000000000000001E-4</v>
      </c>
      <c r="R10" s="2">
        <f>R9/S9</f>
        <v>112.56354393609296</v>
      </c>
      <c r="S10" s="2">
        <f>P9/R10</f>
        <v>0.84210212903225812</v>
      </c>
    </row>
    <row r="11" spans="1:19" x14ac:dyDescent="0.25">
      <c r="A11" s="1">
        <v>46388</v>
      </c>
      <c r="B11">
        <v>136.07</v>
      </c>
      <c r="C11">
        <f>$C$8+(COUNT($B$9:B11)*($S$3-$C$8)/14)</f>
        <v>0.93616502736756968</v>
      </c>
      <c r="D11">
        <f t="shared" si="0"/>
        <v>210.58066100590682</v>
      </c>
      <c r="G11">
        <f t="shared" si="2"/>
        <v>7.499999999999998E-3</v>
      </c>
      <c r="H11">
        <f t="shared" si="1"/>
        <v>-5.0000000000000001E-4</v>
      </c>
    </row>
    <row r="12" spans="1:19" x14ac:dyDescent="0.25">
      <c r="A12" s="1">
        <v>46419</v>
      </c>
      <c r="B12">
        <v>129.27000000000001</v>
      </c>
      <c r="C12">
        <f>$C$8+(COUNT($B$9:B12)*($S$3-$C$8)/14)</f>
        <v>0.9675193268126735</v>
      </c>
      <c r="D12">
        <f t="shared" si="0"/>
        <v>194.38143306933603</v>
      </c>
      <c r="G12">
        <f t="shared" si="2"/>
        <v>6.9999999999999975E-3</v>
      </c>
      <c r="H12">
        <f t="shared" si="1"/>
        <v>-5.0000000000000001E-4</v>
      </c>
    </row>
    <row r="13" spans="1:19" x14ac:dyDescent="0.25">
      <c r="A13" s="1">
        <v>46447</v>
      </c>
      <c r="B13">
        <v>121.51</v>
      </c>
      <c r="C13">
        <f>$C$8+(COUNT($B$9:B13)*($S$3-$C$8)/14)</f>
        <v>0.99887362625777731</v>
      </c>
      <c r="D13">
        <f>13+B13/C13*1.38</f>
        <v>180.87288761263795</v>
      </c>
      <c r="G13">
        <f t="shared" si="2"/>
        <v>6.4999999999999971E-3</v>
      </c>
      <c r="H13">
        <f t="shared" si="1"/>
        <v>-5.0000000000000001E-4</v>
      </c>
    </row>
    <row r="14" spans="1:19" x14ac:dyDescent="0.25">
      <c r="A14" s="1">
        <v>46478</v>
      </c>
      <c r="B14">
        <v>114.22</v>
      </c>
      <c r="C14">
        <f>$C$8+(COUNT($B$9:B14)*($S$3-$C$8)/14)</f>
        <v>1.0302279257028812</v>
      </c>
      <c r="D14">
        <f>16+B14/C14*1.38</f>
        <v>168.99876470778059</v>
      </c>
      <c r="G14">
        <f t="shared" si="2"/>
        <v>6.4999999999999971E-3</v>
      </c>
      <c r="H14">
        <v>0</v>
      </c>
    </row>
    <row r="15" spans="1:19" x14ac:dyDescent="0.25">
      <c r="A15" s="1">
        <v>46508</v>
      </c>
      <c r="B15">
        <v>108.22</v>
      </c>
      <c r="C15">
        <f>$C$8+(COUNT($B$9:B15)*($S$3-$C$8)/14)</f>
        <v>1.0615822251479852</v>
      </c>
      <c r="D15">
        <f>17+B15/C15*1.38</f>
        <v>157.68020023524923</v>
      </c>
      <c r="G15">
        <f t="shared" si="2"/>
        <v>1.3999999999999997E-2</v>
      </c>
      <c r="H15">
        <v>7.4999999999999997E-3</v>
      </c>
    </row>
    <row r="16" spans="1:19" x14ac:dyDescent="0.25">
      <c r="A16" s="1">
        <v>46539</v>
      </c>
      <c r="B16">
        <v>103.35</v>
      </c>
      <c r="C16">
        <f>$C$8+(COUNT($B$9:B16)*($S$3-$C$8)/14)</f>
        <v>1.0929365245930889</v>
      </c>
      <c r="D16">
        <f>20+B16/C16*1.38</f>
        <v>150.49522711586562</v>
      </c>
      <c r="G16">
        <f t="shared" si="2"/>
        <v>2.1499999999999998E-2</v>
      </c>
      <c r="H16">
        <f t="shared" si="1"/>
        <v>7.4999999999999997E-3</v>
      </c>
    </row>
    <row r="17" spans="1:8" x14ac:dyDescent="0.25">
      <c r="A17" s="1">
        <v>46569</v>
      </c>
      <c r="B17">
        <v>99.47</v>
      </c>
      <c r="C17">
        <f>$C$8+(COUNT($B$9:B17)*($S$3-$C$8)/14)</f>
        <v>1.1242908240381928</v>
      </c>
      <c r="D17">
        <f>21+B17/C17*1.38</f>
        <v>143.09349846596001</v>
      </c>
      <c r="G17">
        <f t="shared" si="2"/>
        <v>2.8999999999999998E-2</v>
      </c>
      <c r="H17">
        <f t="shared" si="1"/>
        <v>7.4999999999999997E-3</v>
      </c>
    </row>
    <row r="18" spans="1:8" x14ac:dyDescent="0.25">
      <c r="A18" s="1">
        <v>46600</v>
      </c>
      <c r="B18">
        <v>96.49</v>
      </c>
      <c r="C18">
        <f>$C$8+(COUNT($B$9:B18)*($S$3-$C$8)/14)</f>
        <v>1.1556451234832965</v>
      </c>
      <c r="D18">
        <f t="shared" ref="D18:D81" si="5">21+B18/C18*1.38</f>
        <v>136.22239595373901</v>
      </c>
      <c r="G18">
        <f t="shared" si="2"/>
        <v>3.6499999999999998E-2</v>
      </c>
      <c r="H18">
        <f t="shared" si="1"/>
        <v>7.4999999999999997E-3</v>
      </c>
    </row>
    <row r="19" spans="1:8" x14ac:dyDescent="0.25">
      <c r="A19" s="1">
        <v>46631</v>
      </c>
      <c r="B19">
        <v>94.32</v>
      </c>
      <c r="C19">
        <f>$C$8+(COUNT($B$9:B19)*($S$3-$C$8)/14)</f>
        <v>1.1869994229284004</v>
      </c>
      <c r="D19">
        <f>22+B19/C19*1.38</f>
        <v>131.65599265320898</v>
      </c>
      <c r="G19">
        <f t="shared" si="2"/>
        <v>4.3999999999999997E-2</v>
      </c>
      <c r="H19">
        <v>7.4999999999999997E-3</v>
      </c>
    </row>
    <row r="20" spans="1:8" x14ac:dyDescent="0.25">
      <c r="A20" s="1">
        <v>46661</v>
      </c>
      <c r="B20">
        <v>92.91</v>
      </c>
      <c r="C20">
        <f>$C$8+(COUNT($B$9:B20)*($S$3-$C$8)/14)</f>
        <v>1.2183537223735044</v>
      </c>
      <c r="D20">
        <f t="shared" ref="D20:D83" si="6">22+B20/C20*1.38</f>
        <v>127.23692557053108</v>
      </c>
      <c r="G20">
        <f t="shared" si="2"/>
        <v>5.1499999999999997E-2</v>
      </c>
      <c r="H20">
        <f t="shared" si="1"/>
        <v>7.4999999999999997E-3</v>
      </c>
    </row>
    <row r="21" spans="1:8" x14ac:dyDescent="0.25">
      <c r="A21" s="1">
        <v>46692</v>
      </c>
      <c r="B21">
        <v>91.52</v>
      </c>
      <c r="C21">
        <f>$C$8+(COUNT($B$9:B21)*($S$3-$C$8)/14)</f>
        <v>1.2497080218186081</v>
      </c>
      <c r="D21">
        <f>25+B21/C21*1.38</f>
        <v>126.06168624588676</v>
      </c>
      <c r="G21">
        <f t="shared" si="2"/>
        <v>5.1499999999999997E-2</v>
      </c>
      <c r="H21">
        <v>0</v>
      </c>
    </row>
    <row r="22" spans="1:8" x14ac:dyDescent="0.25">
      <c r="A22" s="1">
        <v>46722</v>
      </c>
      <c r="B22">
        <v>90.15</v>
      </c>
      <c r="C22">
        <f>$S$3</f>
        <v>1.281062321263712</v>
      </c>
      <c r="D22">
        <f t="shared" ref="D22:D85" si="7">25+B22/C22*1.38</f>
        <v>122.11237145533866</v>
      </c>
      <c r="G22">
        <f t="shared" si="2"/>
        <v>5.1499999999999997E-2</v>
      </c>
      <c r="H22">
        <f t="shared" si="1"/>
        <v>0</v>
      </c>
    </row>
    <row r="23" spans="1:8" x14ac:dyDescent="0.25">
      <c r="A23" s="1">
        <v>46753</v>
      </c>
      <c r="B23">
        <v>88.8</v>
      </c>
      <c r="C23">
        <f t="shared" ref="C23:C86" si="8">$S$3</f>
        <v>1.281062321263712</v>
      </c>
      <c r="D23">
        <f t="shared" si="7"/>
        <v>120.65810965317884</v>
      </c>
      <c r="G23">
        <f t="shared" si="2"/>
        <v>5.1499999999999997E-2</v>
      </c>
      <c r="H23">
        <v>0</v>
      </c>
    </row>
    <row r="24" spans="1:8" x14ac:dyDescent="0.25">
      <c r="A24" s="1">
        <v>46784</v>
      </c>
      <c r="B24">
        <v>88.71</v>
      </c>
      <c r="C24">
        <f t="shared" si="8"/>
        <v>1.281062321263712</v>
      </c>
      <c r="D24">
        <f t="shared" si="7"/>
        <v>120.56115886636817</v>
      </c>
      <c r="G24">
        <v>-1E-3</v>
      </c>
      <c r="H24">
        <v>0</v>
      </c>
    </row>
    <row r="25" spans="1:8" x14ac:dyDescent="0.25">
      <c r="A25" s="1">
        <v>46813</v>
      </c>
      <c r="B25">
        <v>88.62</v>
      </c>
      <c r="C25">
        <f t="shared" si="8"/>
        <v>1.281062321263712</v>
      </c>
      <c r="D25">
        <f t="shared" si="7"/>
        <v>120.46420807955754</v>
      </c>
      <c r="G25">
        <f t="shared" si="2"/>
        <v>-1E-3</v>
      </c>
      <c r="H25">
        <f>H24</f>
        <v>0</v>
      </c>
    </row>
    <row r="26" spans="1:8" x14ac:dyDescent="0.25">
      <c r="A26" s="1">
        <v>46844</v>
      </c>
      <c r="B26">
        <v>88.53</v>
      </c>
      <c r="C26">
        <f t="shared" si="8"/>
        <v>1.281062321263712</v>
      </c>
      <c r="D26">
        <f t="shared" si="7"/>
        <v>120.36725729274688</v>
      </c>
      <c r="G26">
        <f t="shared" si="2"/>
        <v>-1E-3</v>
      </c>
      <c r="H26">
        <f t="shared" ref="H26:H89" si="9">H25</f>
        <v>0</v>
      </c>
    </row>
    <row r="27" spans="1:8" x14ac:dyDescent="0.25">
      <c r="A27" s="1">
        <v>46874</v>
      </c>
      <c r="B27">
        <v>88.44</v>
      </c>
      <c r="C27">
        <f t="shared" si="8"/>
        <v>1.281062321263712</v>
      </c>
      <c r="D27">
        <f t="shared" si="7"/>
        <v>120.27030650593622</v>
      </c>
      <c r="G27">
        <f t="shared" si="2"/>
        <v>-1E-3</v>
      </c>
      <c r="H27">
        <f t="shared" si="9"/>
        <v>0</v>
      </c>
    </row>
    <row r="28" spans="1:8" x14ac:dyDescent="0.25">
      <c r="A28" s="1">
        <v>46905</v>
      </c>
      <c r="B28">
        <v>88.35</v>
      </c>
      <c r="C28">
        <f t="shared" si="8"/>
        <v>1.281062321263712</v>
      </c>
      <c r="D28">
        <f t="shared" si="7"/>
        <v>120.17335571912557</v>
      </c>
      <c r="G28">
        <f t="shared" si="2"/>
        <v>-1E-3</v>
      </c>
      <c r="H28">
        <f t="shared" si="9"/>
        <v>0</v>
      </c>
    </row>
    <row r="29" spans="1:8" x14ac:dyDescent="0.25">
      <c r="A29" s="1">
        <v>46935</v>
      </c>
      <c r="B29">
        <v>88.26</v>
      </c>
      <c r="C29">
        <f t="shared" si="8"/>
        <v>1.281062321263712</v>
      </c>
      <c r="D29">
        <f t="shared" si="7"/>
        <v>120.07640493231493</v>
      </c>
      <c r="G29">
        <f t="shared" si="2"/>
        <v>-1E-3</v>
      </c>
      <c r="H29">
        <f t="shared" si="9"/>
        <v>0</v>
      </c>
    </row>
    <row r="30" spans="1:8" x14ac:dyDescent="0.25">
      <c r="A30" s="1">
        <v>46966</v>
      </c>
      <c r="B30">
        <v>88.17</v>
      </c>
      <c r="C30">
        <f t="shared" si="8"/>
        <v>1.281062321263712</v>
      </c>
      <c r="D30">
        <f t="shared" si="7"/>
        <v>119.97945414550426</v>
      </c>
      <c r="G30">
        <f t="shared" si="2"/>
        <v>-1E-3</v>
      </c>
      <c r="H30">
        <f t="shared" si="9"/>
        <v>0</v>
      </c>
    </row>
    <row r="31" spans="1:8" x14ac:dyDescent="0.25">
      <c r="A31" s="1">
        <v>46997</v>
      </c>
      <c r="B31">
        <v>88.08</v>
      </c>
      <c r="C31">
        <f t="shared" si="8"/>
        <v>1.281062321263712</v>
      </c>
      <c r="D31">
        <f t="shared" si="7"/>
        <v>119.88250335869361</v>
      </c>
      <c r="G31">
        <f t="shared" si="2"/>
        <v>-1E-3</v>
      </c>
      <c r="H31">
        <v>0</v>
      </c>
    </row>
    <row r="32" spans="1:8" x14ac:dyDescent="0.25">
      <c r="A32" s="1">
        <v>47027</v>
      </c>
      <c r="B32">
        <v>87.99</v>
      </c>
      <c r="C32">
        <f t="shared" si="8"/>
        <v>1.281062321263712</v>
      </c>
      <c r="D32">
        <f t="shared" si="7"/>
        <v>119.78555257188295</v>
      </c>
      <c r="G32">
        <f t="shared" si="2"/>
        <v>-1E-3</v>
      </c>
      <c r="H32">
        <f t="shared" si="9"/>
        <v>0</v>
      </c>
    </row>
    <row r="33" spans="1:8" x14ac:dyDescent="0.25">
      <c r="A33" s="1">
        <v>47058</v>
      </c>
      <c r="B33">
        <v>87.9</v>
      </c>
      <c r="C33">
        <f t="shared" si="8"/>
        <v>1.281062321263712</v>
      </c>
      <c r="D33">
        <f t="shared" si="7"/>
        <v>119.68860178507231</v>
      </c>
      <c r="G33">
        <f t="shared" si="2"/>
        <v>-1E-3</v>
      </c>
      <c r="H33">
        <f t="shared" si="9"/>
        <v>0</v>
      </c>
    </row>
    <row r="34" spans="1:8" x14ac:dyDescent="0.25">
      <c r="A34" s="1">
        <v>47088</v>
      </c>
      <c r="B34">
        <v>87.81</v>
      </c>
      <c r="C34">
        <f t="shared" si="8"/>
        <v>1.281062321263712</v>
      </c>
      <c r="D34">
        <f t="shared" si="7"/>
        <v>119.59165099826166</v>
      </c>
      <c r="G34">
        <f t="shared" si="2"/>
        <v>-1E-3</v>
      </c>
      <c r="H34">
        <f t="shared" si="9"/>
        <v>0</v>
      </c>
    </row>
    <row r="35" spans="1:8" x14ac:dyDescent="0.25">
      <c r="A35" s="1">
        <v>47119</v>
      </c>
      <c r="B35">
        <v>87.72</v>
      </c>
      <c r="C35">
        <f t="shared" si="8"/>
        <v>1.281062321263712</v>
      </c>
      <c r="D35">
        <f t="shared" si="7"/>
        <v>119.49470021145099</v>
      </c>
      <c r="G35">
        <f t="shared" si="2"/>
        <v>-1E-3</v>
      </c>
      <c r="H35">
        <f t="shared" si="9"/>
        <v>0</v>
      </c>
    </row>
    <row r="36" spans="1:8" x14ac:dyDescent="0.25">
      <c r="A36" s="1">
        <v>47150</v>
      </c>
      <c r="B36">
        <v>87.63</v>
      </c>
      <c r="C36">
        <f t="shared" si="8"/>
        <v>1.281062321263712</v>
      </c>
      <c r="D36">
        <f t="shared" si="7"/>
        <v>119.39774942464034</v>
      </c>
      <c r="G36">
        <f t="shared" si="2"/>
        <v>-1E-3</v>
      </c>
      <c r="H36">
        <f t="shared" si="9"/>
        <v>0</v>
      </c>
    </row>
    <row r="37" spans="1:8" x14ac:dyDescent="0.25">
      <c r="A37" s="1">
        <v>47178</v>
      </c>
      <c r="B37">
        <v>87.54</v>
      </c>
      <c r="C37">
        <f t="shared" si="8"/>
        <v>1.281062321263712</v>
      </c>
      <c r="D37">
        <f t="shared" si="7"/>
        <v>119.30079863782969</v>
      </c>
      <c r="G37">
        <f t="shared" si="2"/>
        <v>-1E-3</v>
      </c>
      <c r="H37">
        <f t="shared" si="9"/>
        <v>0</v>
      </c>
    </row>
    <row r="38" spans="1:8" x14ac:dyDescent="0.25">
      <c r="A38" s="1">
        <v>47209</v>
      </c>
      <c r="B38">
        <v>87.45</v>
      </c>
      <c r="C38">
        <f t="shared" si="8"/>
        <v>1.281062321263712</v>
      </c>
      <c r="D38">
        <f t="shared" si="7"/>
        <v>119.20384785101903</v>
      </c>
      <c r="G38">
        <f t="shared" si="2"/>
        <v>-1E-3</v>
      </c>
      <c r="H38">
        <f t="shared" si="9"/>
        <v>0</v>
      </c>
    </row>
    <row r="39" spans="1:8" x14ac:dyDescent="0.25">
      <c r="A39" s="1">
        <v>47239</v>
      </c>
      <c r="B39">
        <v>87.36</v>
      </c>
      <c r="C39">
        <f t="shared" si="8"/>
        <v>1.281062321263712</v>
      </c>
      <c r="D39">
        <f t="shared" si="7"/>
        <v>119.10689706420837</v>
      </c>
      <c r="G39">
        <f t="shared" si="2"/>
        <v>-1E-3</v>
      </c>
      <c r="H39">
        <f t="shared" si="9"/>
        <v>0</v>
      </c>
    </row>
    <row r="40" spans="1:8" x14ac:dyDescent="0.25">
      <c r="A40" s="1">
        <v>47270</v>
      </c>
      <c r="B40">
        <v>87.27</v>
      </c>
      <c r="C40">
        <f t="shared" si="8"/>
        <v>1.281062321263712</v>
      </c>
      <c r="D40">
        <f t="shared" si="7"/>
        <v>119.00994627739772</v>
      </c>
      <c r="G40">
        <f t="shared" si="2"/>
        <v>-1E-3</v>
      </c>
      <c r="H40">
        <f t="shared" si="9"/>
        <v>0</v>
      </c>
    </row>
    <row r="41" spans="1:8" x14ac:dyDescent="0.25">
      <c r="A41" s="1">
        <v>47300</v>
      </c>
      <c r="B41">
        <v>87.18</v>
      </c>
      <c r="C41">
        <f t="shared" si="8"/>
        <v>1.281062321263712</v>
      </c>
      <c r="D41">
        <f t="shared" si="7"/>
        <v>118.91299549058708</v>
      </c>
      <c r="G41">
        <f t="shared" si="2"/>
        <v>-1E-3</v>
      </c>
      <c r="H41">
        <f t="shared" si="9"/>
        <v>0</v>
      </c>
    </row>
    <row r="42" spans="1:8" x14ac:dyDescent="0.25">
      <c r="A42" s="1">
        <v>47331</v>
      </c>
      <c r="B42">
        <v>87.09</v>
      </c>
      <c r="C42">
        <f t="shared" si="8"/>
        <v>1.281062321263712</v>
      </c>
      <c r="D42">
        <f t="shared" si="7"/>
        <v>118.81604470377641</v>
      </c>
      <c r="G42">
        <f t="shared" si="2"/>
        <v>-1E-3</v>
      </c>
      <c r="H42">
        <f t="shared" si="9"/>
        <v>0</v>
      </c>
    </row>
    <row r="43" spans="1:8" x14ac:dyDescent="0.25">
      <c r="A43" s="1">
        <v>47362</v>
      </c>
      <c r="B43">
        <v>87</v>
      </c>
      <c r="C43">
        <f t="shared" si="8"/>
        <v>1.281062321263712</v>
      </c>
      <c r="D43">
        <f t="shared" si="7"/>
        <v>118.71909391696576</v>
      </c>
      <c r="G43">
        <f t="shared" si="2"/>
        <v>-1E-3</v>
      </c>
      <c r="H43">
        <f t="shared" si="9"/>
        <v>0</v>
      </c>
    </row>
    <row r="44" spans="1:8" x14ac:dyDescent="0.25">
      <c r="A44" s="1">
        <v>47392</v>
      </c>
      <c r="B44">
        <v>86.91</v>
      </c>
      <c r="C44">
        <f t="shared" si="8"/>
        <v>1.281062321263712</v>
      </c>
      <c r="D44">
        <f t="shared" si="7"/>
        <v>118.6221431301551</v>
      </c>
      <c r="G44">
        <f t="shared" si="2"/>
        <v>-1E-3</v>
      </c>
      <c r="H44">
        <f t="shared" si="9"/>
        <v>0</v>
      </c>
    </row>
    <row r="45" spans="1:8" x14ac:dyDescent="0.25">
      <c r="A45" s="1">
        <v>47423</v>
      </c>
      <c r="B45">
        <v>86.82</v>
      </c>
      <c r="C45">
        <f t="shared" si="8"/>
        <v>1.281062321263712</v>
      </c>
      <c r="D45">
        <f t="shared" si="7"/>
        <v>118.52519234334444</v>
      </c>
      <c r="G45">
        <f t="shared" si="2"/>
        <v>-1E-3</v>
      </c>
      <c r="H45">
        <f t="shared" si="9"/>
        <v>0</v>
      </c>
    </row>
    <row r="46" spans="1:8" x14ac:dyDescent="0.25">
      <c r="A46" s="1">
        <v>47453</v>
      </c>
      <c r="B46">
        <v>86.73</v>
      </c>
      <c r="C46">
        <f t="shared" si="8"/>
        <v>1.281062321263712</v>
      </c>
      <c r="D46">
        <f t="shared" si="7"/>
        <v>118.42824155653381</v>
      </c>
      <c r="G46">
        <f t="shared" si="2"/>
        <v>-1E-3</v>
      </c>
      <c r="H46">
        <f t="shared" si="9"/>
        <v>0</v>
      </c>
    </row>
    <row r="47" spans="1:8" x14ac:dyDescent="0.25">
      <c r="A47" s="1">
        <v>47484</v>
      </c>
      <c r="B47">
        <v>86.64</v>
      </c>
      <c r="C47">
        <f t="shared" si="8"/>
        <v>1.281062321263712</v>
      </c>
      <c r="D47">
        <f t="shared" si="7"/>
        <v>118.33129076972314</v>
      </c>
      <c r="G47">
        <f t="shared" si="2"/>
        <v>-1E-3</v>
      </c>
      <c r="H47">
        <f t="shared" si="9"/>
        <v>0</v>
      </c>
    </row>
    <row r="48" spans="1:8" x14ac:dyDescent="0.25">
      <c r="A48" s="1">
        <v>47515</v>
      </c>
      <c r="B48">
        <v>86.55</v>
      </c>
      <c r="C48">
        <f t="shared" si="8"/>
        <v>1.281062321263712</v>
      </c>
      <c r="D48">
        <f t="shared" si="7"/>
        <v>118.23433998291249</v>
      </c>
      <c r="G48">
        <f t="shared" si="2"/>
        <v>-1E-3</v>
      </c>
      <c r="H48">
        <f t="shared" si="9"/>
        <v>0</v>
      </c>
    </row>
    <row r="49" spans="1:8" x14ac:dyDescent="0.25">
      <c r="A49" s="1">
        <v>47543</v>
      </c>
      <c r="B49">
        <v>86.46</v>
      </c>
      <c r="C49">
        <f t="shared" si="8"/>
        <v>1.281062321263712</v>
      </c>
      <c r="D49">
        <f t="shared" si="7"/>
        <v>118.13738919610182</v>
      </c>
      <c r="G49">
        <f t="shared" si="2"/>
        <v>-1E-3</v>
      </c>
      <c r="H49">
        <f t="shared" si="9"/>
        <v>0</v>
      </c>
    </row>
    <row r="50" spans="1:8" x14ac:dyDescent="0.25">
      <c r="A50" s="1">
        <v>47574</v>
      </c>
      <c r="B50">
        <v>86.37</v>
      </c>
      <c r="C50">
        <f t="shared" si="8"/>
        <v>1.281062321263712</v>
      </c>
      <c r="D50">
        <f t="shared" si="7"/>
        <v>118.04043840929118</v>
      </c>
      <c r="G50">
        <f t="shared" si="2"/>
        <v>-1E-3</v>
      </c>
      <c r="H50">
        <f t="shared" si="9"/>
        <v>0</v>
      </c>
    </row>
    <row r="51" spans="1:8" x14ac:dyDescent="0.25">
      <c r="A51" s="1">
        <v>47604</v>
      </c>
      <c r="B51">
        <v>86.28</v>
      </c>
      <c r="C51">
        <f t="shared" si="8"/>
        <v>1.281062321263712</v>
      </c>
      <c r="D51">
        <f t="shared" si="7"/>
        <v>117.94348762248053</v>
      </c>
      <c r="G51">
        <f t="shared" si="2"/>
        <v>-1E-3</v>
      </c>
      <c r="H51">
        <f t="shared" si="9"/>
        <v>0</v>
      </c>
    </row>
    <row r="52" spans="1:8" x14ac:dyDescent="0.25">
      <c r="A52" s="1">
        <v>47635</v>
      </c>
      <c r="B52">
        <v>86.19</v>
      </c>
      <c r="C52">
        <f t="shared" si="8"/>
        <v>1.281062321263712</v>
      </c>
      <c r="D52">
        <f t="shared" si="7"/>
        <v>117.84653683566987</v>
      </c>
      <c r="G52">
        <f t="shared" si="2"/>
        <v>-1E-3</v>
      </c>
      <c r="H52">
        <f t="shared" si="9"/>
        <v>0</v>
      </c>
    </row>
    <row r="53" spans="1:8" x14ac:dyDescent="0.25">
      <c r="A53" s="1">
        <v>47665</v>
      </c>
      <c r="B53">
        <v>86.1</v>
      </c>
      <c r="C53">
        <f t="shared" si="8"/>
        <v>1.281062321263712</v>
      </c>
      <c r="D53">
        <f t="shared" si="7"/>
        <v>117.74958604885921</v>
      </c>
      <c r="G53">
        <f t="shared" si="2"/>
        <v>-1E-3</v>
      </c>
      <c r="H53">
        <f t="shared" si="9"/>
        <v>0</v>
      </c>
    </row>
    <row r="54" spans="1:8" x14ac:dyDescent="0.25">
      <c r="A54" s="1">
        <v>47696</v>
      </c>
      <c r="B54">
        <v>86.01</v>
      </c>
      <c r="C54">
        <f t="shared" si="8"/>
        <v>1.281062321263712</v>
      </c>
      <c r="D54">
        <f t="shared" si="7"/>
        <v>117.65263526204856</v>
      </c>
      <c r="G54">
        <f t="shared" si="2"/>
        <v>-1E-3</v>
      </c>
      <c r="H54">
        <f t="shared" si="9"/>
        <v>0</v>
      </c>
    </row>
    <row r="55" spans="1:8" x14ac:dyDescent="0.25">
      <c r="A55" s="1">
        <v>47727</v>
      </c>
      <c r="B55">
        <v>85.92</v>
      </c>
      <c r="C55">
        <f t="shared" si="8"/>
        <v>1.281062321263712</v>
      </c>
      <c r="D55">
        <f t="shared" si="7"/>
        <v>117.55568447523791</v>
      </c>
      <c r="G55">
        <f t="shared" si="2"/>
        <v>-1E-3</v>
      </c>
      <c r="H55">
        <f t="shared" si="9"/>
        <v>0</v>
      </c>
    </row>
    <row r="56" spans="1:8" x14ac:dyDescent="0.25">
      <c r="A56" s="1">
        <v>47757</v>
      </c>
      <c r="B56">
        <v>85.83</v>
      </c>
      <c r="C56">
        <f t="shared" si="8"/>
        <v>1.281062321263712</v>
      </c>
      <c r="D56">
        <f t="shared" si="7"/>
        <v>117.45873368842724</v>
      </c>
      <c r="G56">
        <f t="shared" si="2"/>
        <v>-1E-3</v>
      </c>
      <c r="H56">
        <f t="shared" si="9"/>
        <v>0</v>
      </c>
    </row>
    <row r="57" spans="1:8" x14ac:dyDescent="0.25">
      <c r="A57" s="1">
        <v>47788</v>
      </c>
      <c r="B57">
        <v>85.74</v>
      </c>
      <c r="C57">
        <f t="shared" si="8"/>
        <v>1.281062321263712</v>
      </c>
      <c r="D57">
        <f t="shared" si="7"/>
        <v>117.36178290161659</v>
      </c>
      <c r="G57">
        <f t="shared" si="2"/>
        <v>-1E-3</v>
      </c>
      <c r="H57">
        <f t="shared" si="9"/>
        <v>0</v>
      </c>
    </row>
    <row r="58" spans="1:8" x14ac:dyDescent="0.25">
      <c r="A58" s="1">
        <v>47818</v>
      </c>
      <c r="B58">
        <v>85.65</v>
      </c>
      <c r="C58">
        <f t="shared" si="8"/>
        <v>1.281062321263712</v>
      </c>
      <c r="D58">
        <f t="shared" si="7"/>
        <v>117.26483211480596</v>
      </c>
      <c r="G58">
        <f t="shared" si="2"/>
        <v>-1E-3</v>
      </c>
      <c r="H58">
        <f t="shared" si="9"/>
        <v>0</v>
      </c>
    </row>
    <row r="59" spans="1:8" x14ac:dyDescent="0.25">
      <c r="A59" s="1">
        <v>47849</v>
      </c>
      <c r="B59">
        <v>85.56</v>
      </c>
      <c r="C59">
        <f t="shared" si="8"/>
        <v>1.281062321263712</v>
      </c>
      <c r="D59">
        <f t="shared" si="7"/>
        <v>117.16788132799529</v>
      </c>
      <c r="G59">
        <f t="shared" si="2"/>
        <v>-1E-3</v>
      </c>
      <c r="H59">
        <f t="shared" si="9"/>
        <v>0</v>
      </c>
    </row>
    <row r="60" spans="1:8" x14ac:dyDescent="0.25">
      <c r="A60" s="1">
        <v>47880</v>
      </c>
      <c r="B60">
        <v>85.47</v>
      </c>
      <c r="C60">
        <f t="shared" si="8"/>
        <v>1.281062321263712</v>
      </c>
      <c r="D60">
        <f t="shared" si="7"/>
        <v>117.07093054118464</v>
      </c>
      <c r="G60">
        <f t="shared" si="2"/>
        <v>-1E-3</v>
      </c>
      <c r="H60">
        <f t="shared" si="9"/>
        <v>0</v>
      </c>
    </row>
    <row r="61" spans="1:8" x14ac:dyDescent="0.25">
      <c r="A61" s="1">
        <v>47908</v>
      </c>
      <c r="B61">
        <v>85.38</v>
      </c>
      <c r="C61">
        <f t="shared" si="8"/>
        <v>1.281062321263712</v>
      </c>
      <c r="D61">
        <f t="shared" si="7"/>
        <v>116.97397975437397</v>
      </c>
      <c r="G61">
        <f t="shared" si="2"/>
        <v>-1E-3</v>
      </c>
      <c r="H61">
        <f t="shared" si="9"/>
        <v>0</v>
      </c>
    </row>
    <row r="62" spans="1:8" x14ac:dyDescent="0.25">
      <c r="A62" s="1">
        <v>47939</v>
      </c>
      <c r="B62">
        <v>85.29</v>
      </c>
      <c r="C62">
        <f t="shared" si="8"/>
        <v>1.281062321263712</v>
      </c>
      <c r="D62">
        <f t="shared" si="7"/>
        <v>116.87702896756333</v>
      </c>
      <c r="G62">
        <f t="shared" si="2"/>
        <v>-1E-3</v>
      </c>
      <c r="H62">
        <f t="shared" si="9"/>
        <v>0</v>
      </c>
    </row>
    <row r="63" spans="1:8" x14ac:dyDescent="0.25">
      <c r="A63" s="1">
        <v>47969</v>
      </c>
      <c r="B63">
        <v>85.2</v>
      </c>
      <c r="C63">
        <f t="shared" si="8"/>
        <v>1.281062321263712</v>
      </c>
      <c r="D63">
        <f t="shared" si="7"/>
        <v>116.78007818075268</v>
      </c>
      <c r="G63">
        <f t="shared" si="2"/>
        <v>-1E-3</v>
      </c>
      <c r="H63">
        <f t="shared" si="9"/>
        <v>0</v>
      </c>
    </row>
    <row r="64" spans="1:8" x14ac:dyDescent="0.25">
      <c r="A64" s="1">
        <v>48000</v>
      </c>
      <c r="B64">
        <v>85.11</v>
      </c>
      <c r="C64">
        <f t="shared" si="8"/>
        <v>1.281062321263712</v>
      </c>
      <c r="D64">
        <f t="shared" si="7"/>
        <v>116.68312739394202</v>
      </c>
      <c r="G64">
        <f t="shared" si="2"/>
        <v>-1E-3</v>
      </c>
      <c r="H64">
        <f t="shared" si="9"/>
        <v>0</v>
      </c>
    </row>
    <row r="65" spans="1:8" x14ac:dyDescent="0.25">
      <c r="A65" s="1">
        <v>48030</v>
      </c>
      <c r="B65">
        <v>85.02</v>
      </c>
      <c r="C65">
        <f t="shared" si="8"/>
        <v>1.281062321263712</v>
      </c>
      <c r="D65">
        <f t="shared" si="7"/>
        <v>116.58617660713136</v>
      </c>
      <c r="G65">
        <f t="shared" si="2"/>
        <v>-1E-3</v>
      </c>
      <c r="H65">
        <f t="shared" si="9"/>
        <v>0</v>
      </c>
    </row>
    <row r="66" spans="1:8" x14ac:dyDescent="0.25">
      <c r="A66" s="1">
        <v>48061</v>
      </c>
      <c r="B66">
        <v>84.93</v>
      </c>
      <c r="C66">
        <f t="shared" si="8"/>
        <v>1.281062321263712</v>
      </c>
      <c r="D66">
        <f t="shared" si="7"/>
        <v>116.48922582032073</v>
      </c>
      <c r="G66">
        <f t="shared" si="2"/>
        <v>-1E-3</v>
      </c>
      <c r="H66">
        <f t="shared" si="9"/>
        <v>0</v>
      </c>
    </row>
    <row r="67" spans="1:8" x14ac:dyDescent="0.25">
      <c r="A67" s="1">
        <v>48092</v>
      </c>
      <c r="B67">
        <v>84.85</v>
      </c>
      <c r="C67">
        <f t="shared" si="8"/>
        <v>1.281062321263712</v>
      </c>
      <c r="D67">
        <f t="shared" si="7"/>
        <v>116.40304734315569</v>
      </c>
      <c r="G67">
        <f t="shared" si="2"/>
        <v>-1E-3</v>
      </c>
      <c r="H67">
        <f t="shared" si="9"/>
        <v>0</v>
      </c>
    </row>
    <row r="68" spans="1:8" x14ac:dyDescent="0.25">
      <c r="A68" s="1">
        <v>48122</v>
      </c>
      <c r="B68">
        <v>84.77</v>
      </c>
      <c r="C68">
        <f t="shared" si="8"/>
        <v>1.281062321263712</v>
      </c>
      <c r="D68">
        <f t="shared" si="7"/>
        <v>116.31686886599066</v>
      </c>
      <c r="G68">
        <f t="shared" si="2"/>
        <v>-1E-3</v>
      </c>
      <c r="H68">
        <f t="shared" si="9"/>
        <v>0</v>
      </c>
    </row>
    <row r="69" spans="1:8" x14ac:dyDescent="0.25">
      <c r="A69" s="1">
        <v>48153</v>
      </c>
      <c r="B69">
        <v>84.69</v>
      </c>
      <c r="C69">
        <f t="shared" si="8"/>
        <v>1.281062321263712</v>
      </c>
      <c r="D69">
        <f t="shared" si="7"/>
        <v>116.23069038882565</v>
      </c>
      <c r="G69">
        <f t="shared" ref="G69:G132" si="10">G68+H69</f>
        <v>-1E-3</v>
      </c>
      <c r="H69">
        <f t="shared" si="9"/>
        <v>0</v>
      </c>
    </row>
    <row r="70" spans="1:8" x14ac:dyDescent="0.25">
      <c r="A70" s="1">
        <v>48183</v>
      </c>
      <c r="B70">
        <v>84.61</v>
      </c>
      <c r="C70">
        <f t="shared" si="8"/>
        <v>1.281062321263712</v>
      </c>
      <c r="D70">
        <f t="shared" si="7"/>
        <v>116.14451191166062</v>
      </c>
      <c r="G70">
        <f t="shared" si="10"/>
        <v>-1E-3</v>
      </c>
      <c r="H70">
        <f t="shared" si="9"/>
        <v>0</v>
      </c>
    </row>
    <row r="71" spans="1:8" x14ac:dyDescent="0.25">
      <c r="A71" s="1">
        <v>48214</v>
      </c>
      <c r="B71">
        <v>84.53</v>
      </c>
      <c r="C71">
        <f t="shared" si="8"/>
        <v>1.281062321263712</v>
      </c>
      <c r="D71">
        <f t="shared" si="7"/>
        <v>116.05833343449558</v>
      </c>
      <c r="G71">
        <f t="shared" si="10"/>
        <v>-1E-3</v>
      </c>
      <c r="H71">
        <f t="shared" si="9"/>
        <v>0</v>
      </c>
    </row>
    <row r="72" spans="1:8" x14ac:dyDescent="0.25">
      <c r="A72" s="1">
        <v>48245</v>
      </c>
      <c r="B72">
        <v>84.45</v>
      </c>
      <c r="C72">
        <f t="shared" si="8"/>
        <v>1.281062321263712</v>
      </c>
      <c r="D72">
        <f t="shared" si="7"/>
        <v>115.97215495733056</v>
      </c>
      <c r="G72">
        <f t="shared" si="10"/>
        <v>-1E-3</v>
      </c>
      <c r="H72">
        <f t="shared" si="9"/>
        <v>0</v>
      </c>
    </row>
    <row r="73" spans="1:8" x14ac:dyDescent="0.25">
      <c r="A73" s="1">
        <v>48274</v>
      </c>
      <c r="B73">
        <v>84.37</v>
      </c>
      <c r="C73">
        <f t="shared" si="8"/>
        <v>1.281062321263712</v>
      </c>
      <c r="D73">
        <f t="shared" si="7"/>
        <v>115.88597648016554</v>
      </c>
      <c r="G73">
        <f t="shared" si="10"/>
        <v>-1E-3</v>
      </c>
      <c r="H73">
        <f t="shared" si="9"/>
        <v>0</v>
      </c>
    </row>
    <row r="74" spans="1:8" x14ac:dyDescent="0.25">
      <c r="A74" s="1">
        <v>48305</v>
      </c>
      <c r="B74">
        <v>84.29</v>
      </c>
      <c r="C74">
        <f t="shared" si="8"/>
        <v>1.281062321263712</v>
      </c>
      <c r="D74">
        <f t="shared" si="7"/>
        <v>115.79979800300052</v>
      </c>
      <c r="G74">
        <f t="shared" si="10"/>
        <v>-1E-3</v>
      </c>
      <c r="H74">
        <f t="shared" si="9"/>
        <v>0</v>
      </c>
    </row>
    <row r="75" spans="1:8" x14ac:dyDescent="0.25">
      <c r="A75" s="1">
        <v>48335</v>
      </c>
      <c r="B75">
        <v>84.21</v>
      </c>
      <c r="C75">
        <f t="shared" si="8"/>
        <v>1.281062321263712</v>
      </c>
      <c r="D75">
        <f t="shared" si="7"/>
        <v>115.71361952583547</v>
      </c>
      <c r="G75">
        <f t="shared" si="10"/>
        <v>-1E-3</v>
      </c>
      <c r="H75">
        <f t="shared" si="9"/>
        <v>0</v>
      </c>
    </row>
    <row r="76" spans="1:8" x14ac:dyDescent="0.25">
      <c r="A76" s="1">
        <v>48366</v>
      </c>
      <c r="B76">
        <v>84.13</v>
      </c>
      <c r="C76">
        <f t="shared" si="8"/>
        <v>1.281062321263712</v>
      </c>
      <c r="D76">
        <f t="shared" si="7"/>
        <v>115.62744104867046</v>
      </c>
      <c r="G76">
        <f t="shared" si="10"/>
        <v>-1E-3</v>
      </c>
      <c r="H76">
        <f t="shared" si="9"/>
        <v>0</v>
      </c>
    </row>
    <row r="77" spans="1:8" x14ac:dyDescent="0.25">
      <c r="A77" s="1">
        <v>48396</v>
      </c>
      <c r="B77">
        <v>84.05</v>
      </c>
      <c r="C77">
        <f t="shared" si="8"/>
        <v>1.281062321263712</v>
      </c>
      <c r="D77">
        <f t="shared" si="7"/>
        <v>115.54126257150543</v>
      </c>
      <c r="G77">
        <f t="shared" si="10"/>
        <v>-1E-3</v>
      </c>
      <c r="H77">
        <f t="shared" si="9"/>
        <v>0</v>
      </c>
    </row>
    <row r="78" spans="1:8" x14ac:dyDescent="0.25">
      <c r="A78" s="1">
        <v>48427</v>
      </c>
      <c r="B78">
        <v>83.97</v>
      </c>
      <c r="C78">
        <f t="shared" si="8"/>
        <v>1.281062321263712</v>
      </c>
      <c r="D78">
        <f t="shared" si="7"/>
        <v>115.45508409434041</v>
      </c>
      <c r="G78">
        <f t="shared" si="10"/>
        <v>-1E-3</v>
      </c>
      <c r="H78">
        <f t="shared" si="9"/>
        <v>0</v>
      </c>
    </row>
    <row r="79" spans="1:8" x14ac:dyDescent="0.25">
      <c r="A79" s="1">
        <v>48458</v>
      </c>
      <c r="B79">
        <v>83.89</v>
      </c>
      <c r="C79">
        <f t="shared" si="8"/>
        <v>1.281062321263712</v>
      </c>
      <c r="D79">
        <f t="shared" si="7"/>
        <v>115.36890561717537</v>
      </c>
      <c r="G79">
        <f t="shared" si="10"/>
        <v>-1E-3</v>
      </c>
      <c r="H79">
        <f t="shared" si="9"/>
        <v>0</v>
      </c>
    </row>
    <row r="80" spans="1:8" x14ac:dyDescent="0.25">
      <c r="A80" s="1">
        <v>48488</v>
      </c>
      <c r="B80">
        <v>83.81</v>
      </c>
      <c r="C80">
        <f t="shared" si="8"/>
        <v>1.281062321263712</v>
      </c>
      <c r="D80">
        <f t="shared" si="7"/>
        <v>115.28272714001035</v>
      </c>
      <c r="G80">
        <f t="shared" si="10"/>
        <v>-1E-3</v>
      </c>
      <c r="H80">
        <f t="shared" si="9"/>
        <v>0</v>
      </c>
    </row>
    <row r="81" spans="1:8" x14ac:dyDescent="0.25">
      <c r="A81" s="1">
        <v>48519</v>
      </c>
      <c r="B81">
        <v>83.73</v>
      </c>
      <c r="C81">
        <f t="shared" si="8"/>
        <v>1.281062321263712</v>
      </c>
      <c r="D81">
        <f t="shared" si="7"/>
        <v>115.19654866284533</v>
      </c>
      <c r="G81">
        <f t="shared" si="10"/>
        <v>-1E-3</v>
      </c>
      <c r="H81">
        <f t="shared" si="9"/>
        <v>0</v>
      </c>
    </row>
    <row r="82" spans="1:8" x14ac:dyDescent="0.25">
      <c r="A82" s="1">
        <v>48549</v>
      </c>
      <c r="B82">
        <v>83.65</v>
      </c>
      <c r="C82">
        <f t="shared" si="8"/>
        <v>1.281062321263712</v>
      </c>
      <c r="D82">
        <f t="shared" si="7"/>
        <v>115.1103701856803</v>
      </c>
      <c r="G82">
        <f t="shared" si="10"/>
        <v>-1E-3</v>
      </c>
      <c r="H82">
        <f t="shared" si="9"/>
        <v>0</v>
      </c>
    </row>
    <row r="83" spans="1:8" x14ac:dyDescent="0.25">
      <c r="A83" s="1">
        <v>48580</v>
      </c>
      <c r="B83">
        <v>83.57</v>
      </c>
      <c r="C83">
        <f t="shared" si="8"/>
        <v>1.281062321263712</v>
      </c>
      <c r="D83">
        <f t="shared" si="7"/>
        <v>115.02419170851527</v>
      </c>
      <c r="G83">
        <f t="shared" si="10"/>
        <v>-1E-3</v>
      </c>
      <c r="H83">
        <f t="shared" si="9"/>
        <v>0</v>
      </c>
    </row>
    <row r="84" spans="1:8" x14ac:dyDescent="0.25">
      <c r="A84" s="1">
        <v>48611</v>
      </c>
      <c r="B84">
        <v>83.49</v>
      </c>
      <c r="C84">
        <f t="shared" si="8"/>
        <v>1.281062321263712</v>
      </c>
      <c r="D84">
        <f t="shared" si="7"/>
        <v>114.93801323135024</v>
      </c>
      <c r="G84">
        <f t="shared" si="10"/>
        <v>-1E-3</v>
      </c>
      <c r="H84">
        <f t="shared" si="9"/>
        <v>0</v>
      </c>
    </row>
    <row r="85" spans="1:8" x14ac:dyDescent="0.25">
      <c r="A85" s="1">
        <v>48639</v>
      </c>
      <c r="B85">
        <v>83.41</v>
      </c>
      <c r="C85">
        <f t="shared" si="8"/>
        <v>1.281062321263712</v>
      </c>
      <c r="D85">
        <f t="shared" si="7"/>
        <v>114.85183475418522</v>
      </c>
      <c r="G85">
        <f t="shared" si="10"/>
        <v>-1E-3</v>
      </c>
      <c r="H85">
        <f t="shared" si="9"/>
        <v>0</v>
      </c>
    </row>
    <row r="86" spans="1:8" x14ac:dyDescent="0.25">
      <c r="A86" s="1">
        <v>48670</v>
      </c>
      <c r="B86">
        <v>83.33</v>
      </c>
      <c r="C86">
        <f t="shared" si="8"/>
        <v>1.281062321263712</v>
      </c>
      <c r="D86">
        <f t="shared" ref="D86:D132" si="11">25+B86/C86*1.38</f>
        <v>114.76565627702018</v>
      </c>
      <c r="G86">
        <f t="shared" si="10"/>
        <v>-1E-3</v>
      </c>
      <c r="H86">
        <f t="shared" si="9"/>
        <v>0</v>
      </c>
    </row>
    <row r="87" spans="1:8" x14ac:dyDescent="0.25">
      <c r="A87" s="1">
        <v>48700</v>
      </c>
      <c r="B87">
        <v>83.25</v>
      </c>
      <c r="C87">
        <f t="shared" ref="C87:C132" si="12">$S$3</f>
        <v>1.281062321263712</v>
      </c>
      <c r="D87">
        <f t="shared" si="11"/>
        <v>114.67947779985518</v>
      </c>
      <c r="G87">
        <f t="shared" si="10"/>
        <v>-1E-3</v>
      </c>
      <c r="H87">
        <f t="shared" si="9"/>
        <v>0</v>
      </c>
    </row>
    <row r="88" spans="1:8" x14ac:dyDescent="0.25">
      <c r="A88" s="1">
        <v>48731</v>
      </c>
      <c r="B88">
        <v>83.17</v>
      </c>
      <c r="C88">
        <f t="shared" si="12"/>
        <v>1.281062321263712</v>
      </c>
      <c r="D88">
        <f t="shared" si="11"/>
        <v>114.59329932269014</v>
      </c>
      <c r="G88">
        <f t="shared" si="10"/>
        <v>-1E-3</v>
      </c>
      <c r="H88">
        <f t="shared" si="9"/>
        <v>0</v>
      </c>
    </row>
    <row r="89" spans="1:8" x14ac:dyDescent="0.25">
      <c r="A89" s="1">
        <v>48761</v>
      </c>
      <c r="B89">
        <v>83.09</v>
      </c>
      <c r="C89">
        <f t="shared" si="12"/>
        <v>1.281062321263712</v>
      </c>
      <c r="D89">
        <f t="shared" si="11"/>
        <v>114.50712084552511</v>
      </c>
      <c r="G89">
        <f t="shared" si="10"/>
        <v>-1E-3</v>
      </c>
      <c r="H89">
        <f t="shared" si="9"/>
        <v>0</v>
      </c>
    </row>
    <row r="90" spans="1:8" x14ac:dyDescent="0.25">
      <c r="A90" s="1">
        <v>48792</v>
      </c>
      <c r="B90">
        <v>83.01</v>
      </c>
      <c r="C90">
        <f t="shared" si="12"/>
        <v>1.281062321263712</v>
      </c>
      <c r="D90">
        <f t="shared" si="11"/>
        <v>114.4209423683601</v>
      </c>
      <c r="G90">
        <f t="shared" si="10"/>
        <v>-1E-3</v>
      </c>
      <c r="H90">
        <f t="shared" ref="H90:H132" si="13">H89</f>
        <v>0</v>
      </c>
    </row>
    <row r="91" spans="1:8" x14ac:dyDescent="0.25">
      <c r="A91" s="1">
        <v>48823</v>
      </c>
      <c r="B91">
        <v>82.93</v>
      </c>
      <c r="C91">
        <f t="shared" si="12"/>
        <v>1.281062321263712</v>
      </c>
      <c r="D91">
        <f t="shared" si="11"/>
        <v>114.33476389119507</v>
      </c>
      <c r="G91">
        <f t="shared" si="10"/>
        <v>-1E-3</v>
      </c>
      <c r="H91">
        <f t="shared" si="13"/>
        <v>0</v>
      </c>
    </row>
    <row r="92" spans="1:8" x14ac:dyDescent="0.25">
      <c r="A92" s="1">
        <v>48853</v>
      </c>
      <c r="B92">
        <v>82.85</v>
      </c>
      <c r="C92">
        <f t="shared" si="12"/>
        <v>1.281062321263712</v>
      </c>
      <c r="D92">
        <f t="shared" si="11"/>
        <v>114.24858541403003</v>
      </c>
      <c r="G92">
        <f t="shared" si="10"/>
        <v>-1E-3</v>
      </c>
      <c r="H92">
        <f t="shared" si="13"/>
        <v>0</v>
      </c>
    </row>
    <row r="93" spans="1:8" x14ac:dyDescent="0.25">
      <c r="A93" s="1">
        <v>48884</v>
      </c>
      <c r="B93">
        <v>82.77</v>
      </c>
      <c r="C93">
        <f t="shared" si="12"/>
        <v>1.281062321263712</v>
      </c>
      <c r="D93">
        <f t="shared" si="11"/>
        <v>114.162406936865</v>
      </c>
      <c r="G93">
        <f t="shared" si="10"/>
        <v>-1E-3</v>
      </c>
      <c r="H93">
        <f t="shared" si="13"/>
        <v>0</v>
      </c>
    </row>
    <row r="94" spans="1:8" x14ac:dyDescent="0.25">
      <c r="A94" s="1">
        <v>48914</v>
      </c>
      <c r="B94">
        <v>82.69</v>
      </c>
      <c r="C94">
        <f t="shared" si="12"/>
        <v>1.281062321263712</v>
      </c>
      <c r="D94">
        <f t="shared" si="11"/>
        <v>114.07622845969999</v>
      </c>
      <c r="G94">
        <f t="shared" si="10"/>
        <v>-1E-3</v>
      </c>
      <c r="H94">
        <f t="shared" si="13"/>
        <v>0</v>
      </c>
    </row>
    <row r="95" spans="1:8" x14ac:dyDescent="0.25">
      <c r="A95" s="1">
        <v>48945</v>
      </c>
      <c r="B95">
        <v>82.61</v>
      </c>
      <c r="C95">
        <f t="shared" si="12"/>
        <v>1.281062321263712</v>
      </c>
      <c r="D95">
        <f t="shared" si="11"/>
        <v>113.99004998253496</v>
      </c>
      <c r="G95">
        <f t="shared" si="10"/>
        <v>-1E-3</v>
      </c>
      <c r="H95">
        <f t="shared" si="13"/>
        <v>0</v>
      </c>
    </row>
    <row r="96" spans="1:8" x14ac:dyDescent="0.25">
      <c r="A96" s="1">
        <v>48976</v>
      </c>
      <c r="B96">
        <v>82.53</v>
      </c>
      <c r="C96">
        <f t="shared" si="12"/>
        <v>1.281062321263712</v>
      </c>
      <c r="D96">
        <f t="shared" si="11"/>
        <v>113.90387150536995</v>
      </c>
      <c r="G96">
        <f t="shared" si="10"/>
        <v>-1E-3</v>
      </c>
      <c r="H96">
        <f t="shared" si="13"/>
        <v>0</v>
      </c>
    </row>
    <row r="97" spans="1:8" x14ac:dyDescent="0.25">
      <c r="A97" s="1">
        <v>49004</v>
      </c>
      <c r="B97">
        <v>82.45</v>
      </c>
      <c r="C97">
        <f t="shared" si="12"/>
        <v>1.281062321263712</v>
      </c>
      <c r="D97">
        <f t="shared" si="11"/>
        <v>113.81769302820491</v>
      </c>
      <c r="G97">
        <f t="shared" si="10"/>
        <v>-1E-3</v>
      </c>
      <c r="H97">
        <f t="shared" si="13"/>
        <v>0</v>
      </c>
    </row>
    <row r="98" spans="1:8" x14ac:dyDescent="0.25">
      <c r="A98" s="1">
        <v>49035</v>
      </c>
      <c r="B98">
        <v>82.37</v>
      </c>
      <c r="C98">
        <f t="shared" si="12"/>
        <v>1.281062321263712</v>
      </c>
      <c r="D98">
        <f t="shared" si="11"/>
        <v>113.73151455103988</v>
      </c>
      <c r="G98">
        <f t="shared" si="10"/>
        <v>-1E-3</v>
      </c>
      <c r="H98">
        <f t="shared" si="13"/>
        <v>0</v>
      </c>
    </row>
    <row r="99" spans="1:8" x14ac:dyDescent="0.25">
      <c r="A99" s="1">
        <v>49065</v>
      </c>
      <c r="B99">
        <v>82.29</v>
      </c>
      <c r="C99">
        <f t="shared" si="12"/>
        <v>1.281062321263712</v>
      </c>
      <c r="D99">
        <f t="shared" si="11"/>
        <v>113.64533607387487</v>
      </c>
      <c r="G99">
        <f t="shared" si="10"/>
        <v>-1E-3</v>
      </c>
      <c r="H99">
        <f t="shared" si="13"/>
        <v>0</v>
      </c>
    </row>
    <row r="100" spans="1:8" x14ac:dyDescent="0.25">
      <c r="A100" s="1">
        <v>49096</v>
      </c>
      <c r="B100">
        <v>82.21</v>
      </c>
      <c r="C100">
        <f t="shared" si="12"/>
        <v>1.281062321263712</v>
      </c>
      <c r="D100">
        <f t="shared" si="11"/>
        <v>113.55915759670982</v>
      </c>
      <c r="G100">
        <f t="shared" si="10"/>
        <v>-1E-3</v>
      </c>
      <c r="H100">
        <f t="shared" si="13"/>
        <v>0</v>
      </c>
    </row>
    <row r="101" spans="1:8" x14ac:dyDescent="0.25">
      <c r="A101" s="1">
        <v>49126</v>
      </c>
      <c r="B101">
        <v>82.13</v>
      </c>
      <c r="C101">
        <f t="shared" si="12"/>
        <v>1.281062321263712</v>
      </c>
      <c r="D101">
        <f t="shared" si="11"/>
        <v>113.4729791195448</v>
      </c>
      <c r="G101">
        <f t="shared" si="10"/>
        <v>-1E-3</v>
      </c>
      <c r="H101">
        <f t="shared" si="13"/>
        <v>0</v>
      </c>
    </row>
    <row r="102" spans="1:8" x14ac:dyDescent="0.25">
      <c r="A102" s="1">
        <v>49157</v>
      </c>
      <c r="B102">
        <v>82.05</v>
      </c>
      <c r="C102">
        <f t="shared" si="12"/>
        <v>1.281062321263712</v>
      </c>
      <c r="D102">
        <f t="shared" si="11"/>
        <v>113.38680064237977</v>
      </c>
      <c r="G102">
        <f t="shared" si="10"/>
        <v>-1E-3</v>
      </c>
      <c r="H102">
        <f t="shared" si="13"/>
        <v>0</v>
      </c>
    </row>
    <row r="103" spans="1:8" x14ac:dyDescent="0.25">
      <c r="A103" s="1">
        <v>49188</v>
      </c>
      <c r="B103">
        <v>81.97</v>
      </c>
      <c r="C103">
        <f t="shared" si="12"/>
        <v>1.281062321263712</v>
      </c>
      <c r="D103">
        <f t="shared" si="11"/>
        <v>113.30062216521475</v>
      </c>
      <c r="G103">
        <f t="shared" si="10"/>
        <v>-1E-3</v>
      </c>
      <c r="H103">
        <f t="shared" si="13"/>
        <v>0</v>
      </c>
    </row>
    <row r="104" spans="1:8" x14ac:dyDescent="0.25">
      <c r="A104" s="1">
        <v>49218</v>
      </c>
      <c r="B104">
        <v>81.89</v>
      </c>
      <c r="C104">
        <f t="shared" si="12"/>
        <v>1.281062321263712</v>
      </c>
      <c r="D104">
        <f t="shared" si="11"/>
        <v>113.21444368804973</v>
      </c>
      <c r="G104">
        <f t="shared" si="10"/>
        <v>-1E-3</v>
      </c>
      <c r="H104">
        <f t="shared" si="13"/>
        <v>0</v>
      </c>
    </row>
    <row r="105" spans="1:8" x14ac:dyDescent="0.25">
      <c r="A105" s="1">
        <v>49249</v>
      </c>
      <c r="B105">
        <v>81.81</v>
      </c>
      <c r="C105">
        <f t="shared" si="12"/>
        <v>1.281062321263712</v>
      </c>
      <c r="D105">
        <f t="shared" si="11"/>
        <v>113.12826521088471</v>
      </c>
      <c r="G105">
        <f t="shared" si="10"/>
        <v>-1E-3</v>
      </c>
      <c r="H105">
        <f t="shared" si="13"/>
        <v>0</v>
      </c>
    </row>
    <row r="106" spans="1:8" x14ac:dyDescent="0.25">
      <c r="A106" s="1">
        <v>49279</v>
      </c>
      <c r="B106">
        <v>81.73</v>
      </c>
      <c r="C106">
        <f t="shared" si="12"/>
        <v>1.281062321263712</v>
      </c>
      <c r="D106">
        <f t="shared" si="11"/>
        <v>113.04208673371969</v>
      </c>
      <c r="G106">
        <f t="shared" si="10"/>
        <v>-1E-3</v>
      </c>
      <c r="H106">
        <f t="shared" si="13"/>
        <v>0</v>
      </c>
    </row>
    <row r="107" spans="1:8" x14ac:dyDescent="0.25">
      <c r="A107" s="1">
        <v>49310</v>
      </c>
      <c r="B107">
        <v>81.650000000000006</v>
      </c>
      <c r="C107">
        <f t="shared" si="12"/>
        <v>1.281062321263712</v>
      </c>
      <c r="D107">
        <f t="shared" si="11"/>
        <v>112.95590825655466</v>
      </c>
      <c r="G107">
        <f t="shared" si="10"/>
        <v>-1E-3</v>
      </c>
      <c r="H107">
        <f t="shared" si="13"/>
        <v>0</v>
      </c>
    </row>
    <row r="108" spans="1:8" x14ac:dyDescent="0.25">
      <c r="A108" s="1">
        <v>49341</v>
      </c>
      <c r="B108">
        <v>81.569999999999993</v>
      </c>
      <c r="C108">
        <f t="shared" si="12"/>
        <v>1.281062321263712</v>
      </c>
      <c r="D108">
        <f t="shared" si="11"/>
        <v>112.86972977938962</v>
      </c>
      <c r="G108">
        <f t="shared" si="10"/>
        <v>-1E-3</v>
      </c>
      <c r="H108">
        <f t="shared" si="13"/>
        <v>0</v>
      </c>
    </row>
    <row r="109" spans="1:8" x14ac:dyDescent="0.25">
      <c r="A109" s="1">
        <v>49369</v>
      </c>
      <c r="B109">
        <v>81.489999999999995</v>
      </c>
      <c r="C109">
        <f t="shared" si="12"/>
        <v>1.281062321263712</v>
      </c>
      <c r="D109">
        <f t="shared" si="11"/>
        <v>112.78355130222459</v>
      </c>
      <c r="G109">
        <f t="shared" si="10"/>
        <v>-1E-3</v>
      </c>
      <c r="H109">
        <f t="shared" si="13"/>
        <v>0</v>
      </c>
    </row>
    <row r="110" spans="1:8" x14ac:dyDescent="0.25">
      <c r="A110" s="1">
        <v>49400</v>
      </c>
      <c r="B110">
        <v>81.41</v>
      </c>
      <c r="C110">
        <f t="shared" si="12"/>
        <v>1.281062321263712</v>
      </c>
      <c r="D110">
        <f t="shared" si="11"/>
        <v>112.69737282505957</v>
      </c>
      <c r="G110">
        <f t="shared" si="10"/>
        <v>-1E-3</v>
      </c>
      <c r="H110">
        <f t="shared" si="13"/>
        <v>0</v>
      </c>
    </row>
    <row r="111" spans="1:8" x14ac:dyDescent="0.25">
      <c r="A111" s="1">
        <v>49430</v>
      </c>
      <c r="B111">
        <v>81.33</v>
      </c>
      <c r="C111">
        <f t="shared" si="12"/>
        <v>1.281062321263712</v>
      </c>
      <c r="D111">
        <f t="shared" si="11"/>
        <v>112.61119434789454</v>
      </c>
      <c r="G111">
        <f t="shared" si="10"/>
        <v>-1E-3</v>
      </c>
      <c r="H111">
        <f t="shared" si="13"/>
        <v>0</v>
      </c>
    </row>
    <row r="112" spans="1:8" x14ac:dyDescent="0.25">
      <c r="A112" s="1">
        <v>49461</v>
      </c>
      <c r="B112">
        <v>81.25</v>
      </c>
      <c r="C112">
        <f t="shared" si="12"/>
        <v>1.281062321263712</v>
      </c>
      <c r="D112">
        <f t="shared" si="11"/>
        <v>112.52501587072952</v>
      </c>
      <c r="G112">
        <f t="shared" si="10"/>
        <v>-1E-3</v>
      </c>
      <c r="H112">
        <f t="shared" si="13"/>
        <v>0</v>
      </c>
    </row>
    <row r="113" spans="1:8" x14ac:dyDescent="0.25">
      <c r="A113" s="1">
        <v>49491</v>
      </c>
      <c r="B113">
        <v>81.17</v>
      </c>
      <c r="C113">
        <f t="shared" si="12"/>
        <v>1.281062321263712</v>
      </c>
      <c r="D113">
        <f t="shared" si="11"/>
        <v>112.4388373935645</v>
      </c>
      <c r="G113">
        <f t="shared" si="10"/>
        <v>-1E-3</v>
      </c>
      <c r="H113">
        <f t="shared" si="13"/>
        <v>0</v>
      </c>
    </row>
    <row r="114" spans="1:8" x14ac:dyDescent="0.25">
      <c r="A114" s="1">
        <v>49522</v>
      </c>
      <c r="B114">
        <v>81.09</v>
      </c>
      <c r="C114">
        <f t="shared" si="12"/>
        <v>1.281062321263712</v>
      </c>
      <c r="D114">
        <f t="shared" si="11"/>
        <v>112.35265891639948</v>
      </c>
      <c r="G114">
        <f t="shared" si="10"/>
        <v>-1E-3</v>
      </c>
      <c r="H114">
        <f t="shared" si="13"/>
        <v>0</v>
      </c>
    </row>
    <row r="115" spans="1:8" x14ac:dyDescent="0.25">
      <c r="A115" s="1">
        <v>49553</v>
      </c>
      <c r="B115">
        <v>81.010000000000005</v>
      </c>
      <c r="C115">
        <f t="shared" si="12"/>
        <v>1.281062321263712</v>
      </c>
      <c r="D115">
        <f t="shared" si="11"/>
        <v>112.26648043923446</v>
      </c>
      <c r="G115">
        <f t="shared" si="10"/>
        <v>-1E-3</v>
      </c>
      <c r="H115">
        <f t="shared" si="13"/>
        <v>0</v>
      </c>
    </row>
    <row r="116" spans="1:8" x14ac:dyDescent="0.25">
      <c r="A116" s="1">
        <v>49583</v>
      </c>
      <c r="B116">
        <v>80.930000000000007</v>
      </c>
      <c r="C116">
        <f t="shared" si="12"/>
        <v>1.281062321263712</v>
      </c>
      <c r="D116">
        <f t="shared" si="11"/>
        <v>112.18030196206942</v>
      </c>
      <c r="G116">
        <f t="shared" si="10"/>
        <v>-1E-3</v>
      </c>
      <c r="H116">
        <f t="shared" si="13"/>
        <v>0</v>
      </c>
    </row>
    <row r="117" spans="1:8" x14ac:dyDescent="0.25">
      <c r="A117" s="1">
        <v>49614</v>
      </c>
      <c r="B117">
        <v>80.849999999999994</v>
      </c>
      <c r="C117">
        <f t="shared" si="12"/>
        <v>1.281062321263712</v>
      </c>
      <c r="D117">
        <f t="shared" si="11"/>
        <v>112.09412348490439</v>
      </c>
      <c r="G117">
        <f t="shared" si="10"/>
        <v>-1E-3</v>
      </c>
      <c r="H117">
        <f t="shared" si="13"/>
        <v>0</v>
      </c>
    </row>
    <row r="118" spans="1:8" x14ac:dyDescent="0.25">
      <c r="A118" s="1">
        <v>49644</v>
      </c>
      <c r="B118">
        <v>80.77</v>
      </c>
      <c r="C118">
        <f t="shared" si="12"/>
        <v>1.281062321263712</v>
      </c>
      <c r="D118">
        <f t="shared" si="11"/>
        <v>112.00794500773937</v>
      </c>
      <c r="G118">
        <f t="shared" si="10"/>
        <v>-1E-3</v>
      </c>
      <c r="H118">
        <f t="shared" si="13"/>
        <v>0</v>
      </c>
    </row>
    <row r="119" spans="1:8" x14ac:dyDescent="0.25">
      <c r="A119" s="1">
        <v>49675</v>
      </c>
      <c r="B119">
        <v>80.69</v>
      </c>
      <c r="C119">
        <f t="shared" si="12"/>
        <v>1.281062321263712</v>
      </c>
      <c r="D119">
        <f t="shared" si="11"/>
        <v>111.92176653057435</v>
      </c>
      <c r="G119">
        <f t="shared" si="10"/>
        <v>-1E-3</v>
      </c>
      <c r="H119">
        <f t="shared" si="13"/>
        <v>0</v>
      </c>
    </row>
    <row r="120" spans="1:8" x14ac:dyDescent="0.25">
      <c r="A120" s="1">
        <v>49706</v>
      </c>
      <c r="B120">
        <v>80.61</v>
      </c>
      <c r="C120">
        <f t="shared" si="12"/>
        <v>1.281062321263712</v>
      </c>
      <c r="D120">
        <f t="shared" si="11"/>
        <v>111.83558805340931</v>
      </c>
      <c r="G120">
        <f t="shared" si="10"/>
        <v>-1E-3</v>
      </c>
      <c r="H120">
        <f t="shared" si="13"/>
        <v>0</v>
      </c>
    </row>
    <row r="121" spans="1:8" x14ac:dyDescent="0.25">
      <c r="A121" s="1">
        <v>49735</v>
      </c>
      <c r="B121">
        <v>80.53</v>
      </c>
      <c r="C121">
        <f t="shared" si="12"/>
        <v>1.281062321263712</v>
      </c>
      <c r="D121">
        <f t="shared" si="11"/>
        <v>111.74940957624429</v>
      </c>
      <c r="G121">
        <f t="shared" si="10"/>
        <v>-1E-3</v>
      </c>
      <c r="H121">
        <f t="shared" si="13"/>
        <v>0</v>
      </c>
    </row>
    <row r="122" spans="1:8" x14ac:dyDescent="0.25">
      <c r="A122" s="1">
        <v>49766</v>
      </c>
      <c r="B122">
        <v>80.45</v>
      </c>
      <c r="C122">
        <f t="shared" si="12"/>
        <v>1.281062321263712</v>
      </c>
      <c r="D122">
        <f t="shared" si="11"/>
        <v>111.66323109907927</v>
      </c>
      <c r="G122">
        <f t="shared" si="10"/>
        <v>-1E-3</v>
      </c>
      <c r="H122">
        <f t="shared" si="13"/>
        <v>0</v>
      </c>
    </row>
    <row r="123" spans="1:8" x14ac:dyDescent="0.25">
      <c r="A123" s="1">
        <v>49796</v>
      </c>
      <c r="B123">
        <v>80.37</v>
      </c>
      <c r="C123">
        <f t="shared" si="12"/>
        <v>1.281062321263712</v>
      </c>
      <c r="D123">
        <f t="shared" si="11"/>
        <v>111.57705262191423</v>
      </c>
      <c r="G123">
        <f t="shared" si="10"/>
        <v>-1E-3</v>
      </c>
      <c r="H123">
        <f t="shared" si="13"/>
        <v>0</v>
      </c>
    </row>
    <row r="124" spans="1:8" x14ac:dyDescent="0.25">
      <c r="A124" s="1">
        <v>49827</v>
      </c>
      <c r="B124">
        <v>80.290000000000006</v>
      </c>
      <c r="C124">
        <f t="shared" si="12"/>
        <v>1.281062321263712</v>
      </c>
      <c r="D124">
        <f t="shared" si="11"/>
        <v>111.49087414474921</v>
      </c>
      <c r="G124">
        <f t="shared" si="10"/>
        <v>-1E-3</v>
      </c>
      <c r="H124">
        <f t="shared" si="13"/>
        <v>0</v>
      </c>
    </row>
    <row r="125" spans="1:8" x14ac:dyDescent="0.25">
      <c r="A125" s="1">
        <v>49857</v>
      </c>
      <c r="B125">
        <v>80.209999999999994</v>
      </c>
      <c r="C125">
        <f t="shared" si="12"/>
        <v>1.281062321263712</v>
      </c>
      <c r="D125">
        <f t="shared" si="11"/>
        <v>111.40469566758418</v>
      </c>
      <c r="G125">
        <f t="shared" si="10"/>
        <v>-1E-3</v>
      </c>
      <c r="H125">
        <f t="shared" si="13"/>
        <v>0</v>
      </c>
    </row>
    <row r="126" spans="1:8" x14ac:dyDescent="0.25">
      <c r="A126" s="1">
        <v>49888</v>
      </c>
      <c r="B126">
        <v>80.13</v>
      </c>
      <c r="C126">
        <f t="shared" si="12"/>
        <v>1.281062321263712</v>
      </c>
      <c r="D126">
        <f t="shared" si="11"/>
        <v>111.31851719041916</v>
      </c>
      <c r="G126">
        <f t="shared" si="10"/>
        <v>-1E-3</v>
      </c>
      <c r="H126">
        <f t="shared" si="13"/>
        <v>0</v>
      </c>
    </row>
    <row r="127" spans="1:8" x14ac:dyDescent="0.25">
      <c r="A127" s="1">
        <v>49919</v>
      </c>
      <c r="B127">
        <v>80.05</v>
      </c>
      <c r="C127">
        <f t="shared" si="12"/>
        <v>1.281062321263712</v>
      </c>
      <c r="D127">
        <f t="shared" si="11"/>
        <v>111.23233871325414</v>
      </c>
      <c r="G127">
        <f t="shared" si="10"/>
        <v>-1E-3</v>
      </c>
      <c r="H127">
        <f t="shared" si="13"/>
        <v>0</v>
      </c>
    </row>
    <row r="128" spans="1:8" x14ac:dyDescent="0.25">
      <c r="A128" s="1">
        <v>49949</v>
      </c>
      <c r="B128">
        <v>79.97</v>
      </c>
      <c r="C128">
        <f t="shared" si="12"/>
        <v>1.281062321263712</v>
      </c>
      <c r="D128">
        <f t="shared" si="11"/>
        <v>111.1461602360891</v>
      </c>
      <c r="G128">
        <f t="shared" si="10"/>
        <v>-1E-3</v>
      </c>
      <c r="H128">
        <f t="shared" si="13"/>
        <v>0</v>
      </c>
    </row>
    <row r="129" spans="1:8" x14ac:dyDescent="0.25">
      <c r="A129" s="1">
        <v>49980</v>
      </c>
      <c r="B129">
        <v>79.89</v>
      </c>
      <c r="C129">
        <f t="shared" si="12"/>
        <v>1.281062321263712</v>
      </c>
      <c r="D129">
        <f t="shared" si="11"/>
        <v>111.05998175892408</v>
      </c>
      <c r="G129">
        <f t="shared" si="10"/>
        <v>-1E-3</v>
      </c>
      <c r="H129">
        <f t="shared" si="13"/>
        <v>0</v>
      </c>
    </row>
    <row r="130" spans="1:8" x14ac:dyDescent="0.25">
      <c r="A130" s="1">
        <v>50010</v>
      </c>
      <c r="B130">
        <v>79.81</v>
      </c>
      <c r="C130">
        <f t="shared" si="12"/>
        <v>1.281062321263712</v>
      </c>
      <c r="D130">
        <f t="shared" si="11"/>
        <v>110.97380328175905</v>
      </c>
      <c r="G130">
        <f t="shared" si="10"/>
        <v>-1E-3</v>
      </c>
      <c r="H130">
        <f t="shared" si="13"/>
        <v>0</v>
      </c>
    </row>
    <row r="131" spans="1:8" x14ac:dyDescent="0.25">
      <c r="A131" s="1">
        <v>50041</v>
      </c>
      <c r="B131">
        <v>79.73</v>
      </c>
      <c r="C131">
        <f t="shared" si="12"/>
        <v>1.281062321263712</v>
      </c>
      <c r="D131">
        <f t="shared" si="11"/>
        <v>110.88762480459403</v>
      </c>
      <c r="G131">
        <f t="shared" si="10"/>
        <v>-1E-3</v>
      </c>
      <c r="H131">
        <f t="shared" si="13"/>
        <v>0</v>
      </c>
    </row>
    <row r="132" spans="1:8" x14ac:dyDescent="0.25">
      <c r="A132" s="1">
        <v>50072</v>
      </c>
      <c r="B132">
        <v>79.650000000000006</v>
      </c>
      <c r="C132">
        <f t="shared" si="12"/>
        <v>1.281062321263712</v>
      </c>
      <c r="D132">
        <f t="shared" si="11"/>
        <v>110.80144632742901</v>
      </c>
      <c r="G132">
        <f t="shared" si="10"/>
        <v>-1E-3</v>
      </c>
      <c r="H132">
        <f t="shared" si="13"/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36E2-003A-422A-88E6-0226D6688971}">
  <dimension ref="A1:Q132"/>
  <sheetViews>
    <sheetView workbookViewId="0">
      <selection activeCell="B2" sqref="B2"/>
    </sheetView>
  </sheetViews>
  <sheetFormatPr defaultRowHeight="15" x14ac:dyDescent="0.25"/>
  <cols>
    <col min="1" max="1" width="10.42578125" style="1" bestFit="1" customWidth="1"/>
  </cols>
  <sheetData>
    <row r="1" spans="1:17" x14ac:dyDescent="0.25">
      <c r="A1" s="1" t="s">
        <v>18</v>
      </c>
      <c r="B1" t="s">
        <v>39</v>
      </c>
      <c r="C1" t="s">
        <v>41</v>
      </c>
      <c r="E1" t="s">
        <v>42</v>
      </c>
      <c r="F1" t="s">
        <v>43</v>
      </c>
      <c r="H1" t="s">
        <v>40</v>
      </c>
      <c r="I1">
        <v>0.78060214823393115</v>
      </c>
    </row>
    <row r="2" spans="1:17" x14ac:dyDescent="0.25">
      <c r="A2" s="1">
        <v>46113</v>
      </c>
      <c r="B2">
        <v>94.79</v>
      </c>
      <c r="E2">
        <v>0.5</v>
      </c>
      <c r="F2">
        <v>-0.3</v>
      </c>
      <c r="L2" t="s">
        <v>37</v>
      </c>
      <c r="M2">
        <v>170</v>
      </c>
    </row>
    <row r="3" spans="1:17" x14ac:dyDescent="0.25">
      <c r="A3" s="1">
        <v>46143</v>
      </c>
      <c r="B3">
        <f t="shared" ref="B3:B7" si="0">MAX(0,ROUND(B2*(1+E3),2))</f>
        <v>113.75</v>
      </c>
      <c r="E3">
        <f>E2+F3</f>
        <v>0.2</v>
      </c>
      <c r="F3">
        <f>F2</f>
        <v>-0.3</v>
      </c>
    </row>
    <row r="4" spans="1:17" x14ac:dyDescent="0.25">
      <c r="A4" s="1">
        <v>46174</v>
      </c>
      <c r="B4">
        <f t="shared" si="0"/>
        <v>130.81</v>
      </c>
      <c r="E4">
        <v>0.15</v>
      </c>
      <c r="F4">
        <f t="shared" ref="F4:F22" si="1">F3</f>
        <v>-0.3</v>
      </c>
      <c r="M4" t="s">
        <v>38</v>
      </c>
      <c r="N4" t="s">
        <v>39</v>
      </c>
      <c r="O4">
        <v>1.3587</v>
      </c>
    </row>
    <row r="5" spans="1:17" x14ac:dyDescent="0.25">
      <c r="A5" s="1">
        <v>46204</v>
      </c>
      <c r="B5">
        <f t="shared" si="0"/>
        <v>149.12</v>
      </c>
      <c r="E5">
        <f t="shared" ref="E5:E68" si="2">E4+F5</f>
        <v>0.13999999999999999</v>
      </c>
      <c r="F5">
        <v>-0.01</v>
      </c>
      <c r="M5">
        <v>10</v>
      </c>
      <c r="N5">
        <v>17.41</v>
      </c>
      <c r="O5">
        <f>M5*O$4</f>
        <v>13.587</v>
      </c>
      <c r="P5">
        <f>N5/O5</f>
        <v>1.2813718996099213</v>
      </c>
      <c r="Q5">
        <f>1/P5</f>
        <v>0.78041355542791502</v>
      </c>
    </row>
    <row r="6" spans="1:17" x14ac:dyDescent="0.25">
      <c r="A6" s="1">
        <v>46235</v>
      </c>
      <c r="B6">
        <f t="shared" si="0"/>
        <v>150.61000000000001</v>
      </c>
      <c r="E6">
        <v>0.01</v>
      </c>
      <c r="F6">
        <f t="shared" si="1"/>
        <v>-0.01</v>
      </c>
      <c r="M6">
        <v>77.319999999999993</v>
      </c>
      <c r="N6">
        <v>94.79</v>
      </c>
      <c r="O6">
        <f t="shared" ref="O6:O8" si="3">M6*O$4</f>
        <v>105.05468399999999</v>
      </c>
      <c r="P6">
        <f t="shared" ref="P6:P8" si="4">N6/O6</f>
        <v>0.90229199109294367</v>
      </c>
      <c r="Q6">
        <f>N6/P5</f>
        <v>73.97540091901206</v>
      </c>
    </row>
    <row r="7" spans="1:17" x14ac:dyDescent="0.25">
      <c r="A7" s="1">
        <v>46266</v>
      </c>
      <c r="B7">
        <f t="shared" si="0"/>
        <v>150.61000000000001</v>
      </c>
      <c r="E7">
        <f t="shared" si="2"/>
        <v>0</v>
      </c>
      <c r="F7">
        <f t="shared" si="1"/>
        <v>-0.01</v>
      </c>
      <c r="M7">
        <v>20</v>
      </c>
      <c r="N7">
        <v>34.81</v>
      </c>
      <c r="O7">
        <f t="shared" si="3"/>
        <v>27.173999999999999</v>
      </c>
      <c r="P7">
        <f t="shared" si="4"/>
        <v>1.2810039007875176</v>
      </c>
    </row>
    <row r="8" spans="1:17" x14ac:dyDescent="0.25">
      <c r="A8" s="1">
        <v>46296</v>
      </c>
      <c r="B8">
        <f>MAX(0,ROUND(B7*(1+E8),2))</f>
        <v>149.1</v>
      </c>
      <c r="E8">
        <f t="shared" si="2"/>
        <v>-0.01</v>
      </c>
      <c r="F8">
        <f t="shared" si="1"/>
        <v>-0.01</v>
      </c>
      <c r="M8">
        <v>30</v>
      </c>
      <c r="N8">
        <v>52.22</v>
      </c>
      <c r="O8">
        <f t="shared" si="3"/>
        <v>40.761000000000003</v>
      </c>
      <c r="P8">
        <f t="shared" si="4"/>
        <v>1.2811265670616518</v>
      </c>
    </row>
    <row r="9" spans="1:17" x14ac:dyDescent="0.25">
      <c r="A9" s="1">
        <v>46327</v>
      </c>
      <c r="B9">
        <f t="shared" ref="B9:B72" si="5">MAX(0,ROUND(B8*(1+E9),2))</f>
        <v>146.12</v>
      </c>
      <c r="E9">
        <f t="shared" si="2"/>
        <v>-0.02</v>
      </c>
      <c r="F9">
        <f t="shared" si="1"/>
        <v>-0.01</v>
      </c>
    </row>
    <row r="10" spans="1:17" x14ac:dyDescent="0.25">
      <c r="A10" s="1">
        <v>46357</v>
      </c>
      <c r="B10">
        <f t="shared" si="5"/>
        <v>141.74</v>
      </c>
      <c r="E10">
        <f t="shared" si="2"/>
        <v>-0.03</v>
      </c>
      <c r="F10">
        <f t="shared" si="1"/>
        <v>-0.01</v>
      </c>
    </row>
    <row r="11" spans="1:17" x14ac:dyDescent="0.25">
      <c r="A11" s="1">
        <v>46388</v>
      </c>
      <c r="B11">
        <f t="shared" si="5"/>
        <v>136.07</v>
      </c>
      <c r="E11">
        <f t="shared" si="2"/>
        <v>-0.04</v>
      </c>
      <c r="F11">
        <f t="shared" si="1"/>
        <v>-0.01</v>
      </c>
    </row>
    <row r="12" spans="1:17" x14ac:dyDescent="0.25">
      <c r="A12" s="1">
        <v>46419</v>
      </c>
      <c r="B12">
        <f t="shared" si="5"/>
        <v>129.27000000000001</v>
      </c>
      <c r="E12">
        <f t="shared" si="2"/>
        <v>-0.05</v>
      </c>
      <c r="F12">
        <f t="shared" si="1"/>
        <v>-0.01</v>
      </c>
    </row>
    <row r="13" spans="1:17" x14ac:dyDescent="0.25">
      <c r="A13" s="1">
        <v>46447</v>
      </c>
      <c r="B13">
        <f t="shared" si="5"/>
        <v>121.51</v>
      </c>
      <c r="E13">
        <f t="shared" si="2"/>
        <v>-6.0000000000000005E-2</v>
      </c>
      <c r="F13">
        <f t="shared" si="1"/>
        <v>-0.01</v>
      </c>
    </row>
    <row r="14" spans="1:17" x14ac:dyDescent="0.25">
      <c r="A14" s="1">
        <v>46478</v>
      </c>
      <c r="B14">
        <f t="shared" si="5"/>
        <v>114.22</v>
      </c>
      <c r="E14">
        <f t="shared" ref="E14" si="6">E13+F14</f>
        <v>-6.0000000000000005E-2</v>
      </c>
      <c r="F14">
        <v>0</v>
      </c>
    </row>
    <row r="15" spans="1:17" x14ac:dyDescent="0.25">
      <c r="A15" s="1">
        <v>46508</v>
      </c>
      <c r="B15">
        <f t="shared" si="5"/>
        <v>108.22</v>
      </c>
      <c r="E15">
        <f t="shared" si="2"/>
        <v>-5.2500000000000005E-2</v>
      </c>
      <c r="F15">
        <v>7.4999999999999997E-3</v>
      </c>
    </row>
    <row r="16" spans="1:17" x14ac:dyDescent="0.25">
      <c r="A16" s="1">
        <v>46539</v>
      </c>
      <c r="B16">
        <f t="shared" si="5"/>
        <v>103.35</v>
      </c>
      <c r="E16">
        <f t="shared" si="2"/>
        <v>-4.5000000000000005E-2</v>
      </c>
      <c r="F16">
        <f t="shared" si="1"/>
        <v>7.4999999999999997E-3</v>
      </c>
    </row>
    <row r="17" spans="1:6" x14ac:dyDescent="0.25">
      <c r="A17" s="1">
        <v>46569</v>
      </c>
      <c r="B17">
        <f t="shared" si="5"/>
        <v>99.47</v>
      </c>
      <c r="E17">
        <f t="shared" si="2"/>
        <v>-3.7500000000000006E-2</v>
      </c>
      <c r="F17">
        <f t="shared" si="1"/>
        <v>7.4999999999999997E-3</v>
      </c>
    </row>
    <row r="18" spans="1:6" x14ac:dyDescent="0.25">
      <c r="A18" s="1">
        <v>46600</v>
      </c>
      <c r="B18">
        <f t="shared" si="5"/>
        <v>96.49</v>
      </c>
      <c r="E18">
        <f t="shared" si="2"/>
        <v>-3.0000000000000006E-2</v>
      </c>
      <c r="F18">
        <f t="shared" si="1"/>
        <v>7.4999999999999997E-3</v>
      </c>
    </row>
    <row r="19" spans="1:6" x14ac:dyDescent="0.25">
      <c r="A19" s="1">
        <v>46631</v>
      </c>
      <c r="B19">
        <f t="shared" si="5"/>
        <v>94.32</v>
      </c>
      <c r="E19">
        <f t="shared" si="2"/>
        <v>-2.2500000000000006E-2</v>
      </c>
      <c r="F19">
        <v>7.4999999999999997E-3</v>
      </c>
    </row>
    <row r="20" spans="1:6" x14ac:dyDescent="0.25">
      <c r="A20" s="1">
        <v>46661</v>
      </c>
      <c r="B20">
        <f t="shared" si="5"/>
        <v>92.91</v>
      </c>
      <c r="E20">
        <f t="shared" si="2"/>
        <v>-1.5000000000000006E-2</v>
      </c>
      <c r="F20">
        <f t="shared" si="1"/>
        <v>7.4999999999999997E-3</v>
      </c>
    </row>
    <row r="21" spans="1:6" x14ac:dyDescent="0.25">
      <c r="A21" s="1">
        <v>46692</v>
      </c>
      <c r="B21">
        <f t="shared" si="5"/>
        <v>91.52</v>
      </c>
      <c r="E21">
        <f t="shared" si="2"/>
        <v>-1.5000000000000006E-2</v>
      </c>
      <c r="F21">
        <v>0</v>
      </c>
    </row>
    <row r="22" spans="1:6" x14ac:dyDescent="0.25">
      <c r="A22" s="1">
        <v>46722</v>
      </c>
      <c r="B22">
        <f t="shared" si="5"/>
        <v>90.15</v>
      </c>
      <c r="E22">
        <f t="shared" si="2"/>
        <v>-1.5000000000000006E-2</v>
      </c>
      <c r="F22">
        <f t="shared" si="1"/>
        <v>0</v>
      </c>
    </row>
    <row r="23" spans="1:6" x14ac:dyDescent="0.25">
      <c r="A23" s="1">
        <v>46753</v>
      </c>
      <c r="B23">
        <f t="shared" si="5"/>
        <v>88.8</v>
      </c>
      <c r="E23">
        <f t="shared" si="2"/>
        <v>-1.5000000000000006E-2</v>
      </c>
      <c r="F23">
        <v>0</v>
      </c>
    </row>
    <row r="24" spans="1:6" x14ac:dyDescent="0.25">
      <c r="A24" s="1">
        <v>46784</v>
      </c>
      <c r="B24">
        <f t="shared" si="5"/>
        <v>88.71</v>
      </c>
      <c r="E24">
        <v>-1E-3</v>
      </c>
      <c r="F24">
        <v>0</v>
      </c>
    </row>
    <row r="25" spans="1:6" x14ac:dyDescent="0.25">
      <c r="A25" s="1">
        <v>46813</v>
      </c>
      <c r="B25">
        <f t="shared" si="5"/>
        <v>88.62</v>
      </c>
      <c r="E25">
        <f t="shared" si="2"/>
        <v>-1E-3</v>
      </c>
      <c r="F25">
        <f>F24</f>
        <v>0</v>
      </c>
    </row>
    <row r="26" spans="1:6" x14ac:dyDescent="0.25">
      <c r="A26" s="1">
        <v>46844</v>
      </c>
      <c r="B26">
        <f t="shared" si="5"/>
        <v>88.53</v>
      </c>
      <c r="E26">
        <f t="shared" si="2"/>
        <v>-1E-3</v>
      </c>
      <c r="F26">
        <f t="shared" ref="F26:F89" si="7">F25</f>
        <v>0</v>
      </c>
    </row>
    <row r="27" spans="1:6" x14ac:dyDescent="0.25">
      <c r="A27" s="1">
        <v>46874</v>
      </c>
      <c r="B27">
        <f t="shared" si="5"/>
        <v>88.44</v>
      </c>
      <c r="E27">
        <f t="shared" si="2"/>
        <v>-1E-3</v>
      </c>
      <c r="F27">
        <f t="shared" si="7"/>
        <v>0</v>
      </c>
    </row>
    <row r="28" spans="1:6" x14ac:dyDescent="0.25">
      <c r="A28" s="1">
        <v>46905</v>
      </c>
      <c r="B28">
        <f t="shared" si="5"/>
        <v>88.35</v>
      </c>
      <c r="E28">
        <f t="shared" si="2"/>
        <v>-1E-3</v>
      </c>
      <c r="F28">
        <f t="shared" si="7"/>
        <v>0</v>
      </c>
    </row>
    <row r="29" spans="1:6" x14ac:dyDescent="0.25">
      <c r="A29" s="1">
        <v>46935</v>
      </c>
      <c r="B29">
        <f t="shared" si="5"/>
        <v>88.26</v>
      </c>
      <c r="E29">
        <f t="shared" si="2"/>
        <v>-1E-3</v>
      </c>
      <c r="F29">
        <f t="shared" si="7"/>
        <v>0</v>
      </c>
    </row>
    <row r="30" spans="1:6" x14ac:dyDescent="0.25">
      <c r="A30" s="1">
        <v>46966</v>
      </c>
      <c r="B30">
        <f t="shared" si="5"/>
        <v>88.17</v>
      </c>
      <c r="E30">
        <f t="shared" si="2"/>
        <v>-1E-3</v>
      </c>
      <c r="F30">
        <f t="shared" si="7"/>
        <v>0</v>
      </c>
    </row>
    <row r="31" spans="1:6" x14ac:dyDescent="0.25">
      <c r="A31" s="1">
        <v>46997</v>
      </c>
      <c r="B31">
        <f t="shared" si="5"/>
        <v>88.08</v>
      </c>
      <c r="E31">
        <f t="shared" si="2"/>
        <v>-1E-3</v>
      </c>
      <c r="F31">
        <v>0</v>
      </c>
    </row>
    <row r="32" spans="1:6" x14ac:dyDescent="0.25">
      <c r="A32" s="1">
        <v>47027</v>
      </c>
      <c r="B32">
        <f t="shared" si="5"/>
        <v>87.99</v>
      </c>
      <c r="E32">
        <f t="shared" si="2"/>
        <v>-1E-3</v>
      </c>
      <c r="F32">
        <f t="shared" si="7"/>
        <v>0</v>
      </c>
    </row>
    <row r="33" spans="1:6" x14ac:dyDescent="0.25">
      <c r="A33" s="1">
        <v>47058</v>
      </c>
      <c r="B33">
        <f t="shared" si="5"/>
        <v>87.9</v>
      </c>
      <c r="E33">
        <f t="shared" si="2"/>
        <v>-1E-3</v>
      </c>
      <c r="F33">
        <f t="shared" si="7"/>
        <v>0</v>
      </c>
    </row>
    <row r="34" spans="1:6" x14ac:dyDescent="0.25">
      <c r="A34" s="1">
        <v>47088</v>
      </c>
      <c r="B34">
        <f t="shared" si="5"/>
        <v>87.81</v>
      </c>
      <c r="E34">
        <f t="shared" si="2"/>
        <v>-1E-3</v>
      </c>
      <c r="F34">
        <f t="shared" si="7"/>
        <v>0</v>
      </c>
    </row>
    <row r="35" spans="1:6" x14ac:dyDescent="0.25">
      <c r="A35" s="1">
        <v>47119</v>
      </c>
      <c r="B35">
        <f t="shared" si="5"/>
        <v>87.72</v>
      </c>
      <c r="E35">
        <f t="shared" si="2"/>
        <v>-1E-3</v>
      </c>
      <c r="F35">
        <f t="shared" si="7"/>
        <v>0</v>
      </c>
    </row>
    <row r="36" spans="1:6" x14ac:dyDescent="0.25">
      <c r="A36" s="1">
        <v>47150</v>
      </c>
      <c r="B36">
        <f t="shared" si="5"/>
        <v>87.63</v>
      </c>
      <c r="E36">
        <f t="shared" si="2"/>
        <v>-1E-3</v>
      </c>
      <c r="F36">
        <f t="shared" si="7"/>
        <v>0</v>
      </c>
    </row>
    <row r="37" spans="1:6" x14ac:dyDescent="0.25">
      <c r="A37" s="1">
        <v>47178</v>
      </c>
      <c r="B37">
        <f t="shared" si="5"/>
        <v>87.54</v>
      </c>
      <c r="E37">
        <f t="shared" si="2"/>
        <v>-1E-3</v>
      </c>
      <c r="F37">
        <f t="shared" si="7"/>
        <v>0</v>
      </c>
    </row>
    <row r="38" spans="1:6" x14ac:dyDescent="0.25">
      <c r="A38" s="1">
        <v>47209</v>
      </c>
      <c r="B38">
        <f t="shared" si="5"/>
        <v>87.45</v>
      </c>
      <c r="E38">
        <f t="shared" si="2"/>
        <v>-1E-3</v>
      </c>
      <c r="F38">
        <f t="shared" si="7"/>
        <v>0</v>
      </c>
    </row>
    <row r="39" spans="1:6" x14ac:dyDescent="0.25">
      <c r="A39" s="1">
        <v>47239</v>
      </c>
      <c r="B39">
        <f t="shared" si="5"/>
        <v>87.36</v>
      </c>
      <c r="E39">
        <f t="shared" si="2"/>
        <v>-1E-3</v>
      </c>
      <c r="F39">
        <f t="shared" si="7"/>
        <v>0</v>
      </c>
    </row>
    <row r="40" spans="1:6" x14ac:dyDescent="0.25">
      <c r="A40" s="1">
        <v>47270</v>
      </c>
      <c r="B40">
        <f t="shared" si="5"/>
        <v>87.27</v>
      </c>
      <c r="E40">
        <f t="shared" si="2"/>
        <v>-1E-3</v>
      </c>
      <c r="F40">
        <f t="shared" si="7"/>
        <v>0</v>
      </c>
    </row>
    <row r="41" spans="1:6" x14ac:dyDescent="0.25">
      <c r="A41" s="1">
        <v>47300</v>
      </c>
      <c r="B41">
        <f t="shared" si="5"/>
        <v>87.18</v>
      </c>
      <c r="E41">
        <f t="shared" si="2"/>
        <v>-1E-3</v>
      </c>
      <c r="F41">
        <f t="shared" si="7"/>
        <v>0</v>
      </c>
    </row>
    <row r="42" spans="1:6" x14ac:dyDescent="0.25">
      <c r="A42" s="1">
        <v>47331</v>
      </c>
      <c r="B42">
        <f t="shared" si="5"/>
        <v>87.09</v>
      </c>
      <c r="E42">
        <f t="shared" si="2"/>
        <v>-1E-3</v>
      </c>
      <c r="F42">
        <f t="shared" si="7"/>
        <v>0</v>
      </c>
    </row>
    <row r="43" spans="1:6" x14ac:dyDescent="0.25">
      <c r="A43" s="1">
        <v>47362</v>
      </c>
      <c r="B43">
        <f t="shared" si="5"/>
        <v>87</v>
      </c>
      <c r="E43">
        <f t="shared" si="2"/>
        <v>-1E-3</v>
      </c>
      <c r="F43">
        <f t="shared" si="7"/>
        <v>0</v>
      </c>
    </row>
    <row r="44" spans="1:6" x14ac:dyDescent="0.25">
      <c r="A44" s="1">
        <v>47392</v>
      </c>
      <c r="B44">
        <f t="shared" si="5"/>
        <v>86.91</v>
      </c>
      <c r="E44">
        <f t="shared" si="2"/>
        <v>-1E-3</v>
      </c>
      <c r="F44">
        <f t="shared" si="7"/>
        <v>0</v>
      </c>
    </row>
    <row r="45" spans="1:6" x14ac:dyDescent="0.25">
      <c r="A45" s="1">
        <v>47423</v>
      </c>
      <c r="B45">
        <f t="shared" si="5"/>
        <v>86.82</v>
      </c>
      <c r="E45">
        <f t="shared" si="2"/>
        <v>-1E-3</v>
      </c>
      <c r="F45">
        <f t="shared" si="7"/>
        <v>0</v>
      </c>
    </row>
    <row r="46" spans="1:6" x14ac:dyDescent="0.25">
      <c r="A46" s="1">
        <v>47453</v>
      </c>
      <c r="B46">
        <f t="shared" si="5"/>
        <v>86.73</v>
      </c>
      <c r="E46">
        <f t="shared" si="2"/>
        <v>-1E-3</v>
      </c>
      <c r="F46">
        <f t="shared" si="7"/>
        <v>0</v>
      </c>
    </row>
    <row r="47" spans="1:6" x14ac:dyDescent="0.25">
      <c r="A47" s="1">
        <v>47484</v>
      </c>
      <c r="B47">
        <f t="shared" si="5"/>
        <v>86.64</v>
      </c>
      <c r="E47">
        <f t="shared" si="2"/>
        <v>-1E-3</v>
      </c>
      <c r="F47">
        <f t="shared" si="7"/>
        <v>0</v>
      </c>
    </row>
    <row r="48" spans="1:6" x14ac:dyDescent="0.25">
      <c r="A48" s="1">
        <v>47515</v>
      </c>
      <c r="B48">
        <f t="shared" si="5"/>
        <v>86.55</v>
      </c>
      <c r="E48">
        <f t="shared" si="2"/>
        <v>-1E-3</v>
      </c>
      <c r="F48">
        <f t="shared" si="7"/>
        <v>0</v>
      </c>
    </row>
    <row r="49" spans="1:6" x14ac:dyDescent="0.25">
      <c r="A49" s="1">
        <v>47543</v>
      </c>
      <c r="B49">
        <f t="shared" si="5"/>
        <v>86.46</v>
      </c>
      <c r="E49">
        <f t="shared" si="2"/>
        <v>-1E-3</v>
      </c>
      <c r="F49">
        <f t="shared" si="7"/>
        <v>0</v>
      </c>
    </row>
    <row r="50" spans="1:6" x14ac:dyDescent="0.25">
      <c r="A50" s="1">
        <v>47574</v>
      </c>
      <c r="B50">
        <f t="shared" si="5"/>
        <v>86.37</v>
      </c>
      <c r="E50">
        <f t="shared" si="2"/>
        <v>-1E-3</v>
      </c>
      <c r="F50">
        <f t="shared" si="7"/>
        <v>0</v>
      </c>
    </row>
    <row r="51" spans="1:6" x14ac:dyDescent="0.25">
      <c r="A51" s="1">
        <v>47604</v>
      </c>
      <c r="B51">
        <f t="shared" si="5"/>
        <v>86.28</v>
      </c>
      <c r="E51">
        <f t="shared" si="2"/>
        <v>-1E-3</v>
      </c>
      <c r="F51">
        <f t="shared" si="7"/>
        <v>0</v>
      </c>
    </row>
    <row r="52" spans="1:6" x14ac:dyDescent="0.25">
      <c r="A52" s="1">
        <v>47635</v>
      </c>
      <c r="B52">
        <f t="shared" si="5"/>
        <v>86.19</v>
      </c>
      <c r="E52">
        <f t="shared" si="2"/>
        <v>-1E-3</v>
      </c>
      <c r="F52">
        <f t="shared" si="7"/>
        <v>0</v>
      </c>
    </row>
    <row r="53" spans="1:6" x14ac:dyDescent="0.25">
      <c r="A53" s="1">
        <v>47665</v>
      </c>
      <c r="B53">
        <f t="shared" si="5"/>
        <v>86.1</v>
      </c>
      <c r="E53">
        <f t="shared" si="2"/>
        <v>-1E-3</v>
      </c>
      <c r="F53">
        <f t="shared" si="7"/>
        <v>0</v>
      </c>
    </row>
    <row r="54" spans="1:6" x14ac:dyDescent="0.25">
      <c r="A54" s="1">
        <v>47696</v>
      </c>
      <c r="B54">
        <f t="shared" si="5"/>
        <v>86.01</v>
      </c>
      <c r="E54">
        <f t="shared" si="2"/>
        <v>-1E-3</v>
      </c>
      <c r="F54">
        <f t="shared" si="7"/>
        <v>0</v>
      </c>
    </row>
    <row r="55" spans="1:6" x14ac:dyDescent="0.25">
      <c r="A55" s="1">
        <v>47727</v>
      </c>
      <c r="B55">
        <f t="shared" si="5"/>
        <v>85.92</v>
      </c>
      <c r="E55">
        <f t="shared" si="2"/>
        <v>-1E-3</v>
      </c>
      <c r="F55">
        <f t="shared" si="7"/>
        <v>0</v>
      </c>
    </row>
    <row r="56" spans="1:6" x14ac:dyDescent="0.25">
      <c r="A56" s="1">
        <v>47757</v>
      </c>
      <c r="B56">
        <f t="shared" si="5"/>
        <v>85.83</v>
      </c>
      <c r="E56">
        <f t="shared" si="2"/>
        <v>-1E-3</v>
      </c>
      <c r="F56">
        <f t="shared" si="7"/>
        <v>0</v>
      </c>
    </row>
    <row r="57" spans="1:6" x14ac:dyDescent="0.25">
      <c r="A57" s="1">
        <v>47788</v>
      </c>
      <c r="B57">
        <f t="shared" si="5"/>
        <v>85.74</v>
      </c>
      <c r="E57">
        <f t="shared" si="2"/>
        <v>-1E-3</v>
      </c>
      <c r="F57">
        <f t="shared" si="7"/>
        <v>0</v>
      </c>
    </row>
    <row r="58" spans="1:6" x14ac:dyDescent="0.25">
      <c r="A58" s="1">
        <v>47818</v>
      </c>
      <c r="B58">
        <f t="shared" si="5"/>
        <v>85.65</v>
      </c>
      <c r="E58">
        <f t="shared" si="2"/>
        <v>-1E-3</v>
      </c>
      <c r="F58">
        <f t="shared" si="7"/>
        <v>0</v>
      </c>
    </row>
    <row r="59" spans="1:6" x14ac:dyDescent="0.25">
      <c r="A59" s="1">
        <v>47849</v>
      </c>
      <c r="B59">
        <f t="shared" si="5"/>
        <v>85.56</v>
      </c>
      <c r="E59">
        <f t="shared" si="2"/>
        <v>-1E-3</v>
      </c>
      <c r="F59">
        <f t="shared" si="7"/>
        <v>0</v>
      </c>
    </row>
    <row r="60" spans="1:6" x14ac:dyDescent="0.25">
      <c r="A60" s="1">
        <v>47880</v>
      </c>
      <c r="B60">
        <f t="shared" si="5"/>
        <v>85.47</v>
      </c>
      <c r="E60">
        <f t="shared" si="2"/>
        <v>-1E-3</v>
      </c>
      <c r="F60">
        <f t="shared" si="7"/>
        <v>0</v>
      </c>
    </row>
    <row r="61" spans="1:6" x14ac:dyDescent="0.25">
      <c r="A61" s="1">
        <v>47908</v>
      </c>
      <c r="B61">
        <f t="shared" si="5"/>
        <v>85.38</v>
      </c>
      <c r="E61">
        <f t="shared" si="2"/>
        <v>-1E-3</v>
      </c>
      <c r="F61">
        <f t="shared" si="7"/>
        <v>0</v>
      </c>
    </row>
    <row r="62" spans="1:6" x14ac:dyDescent="0.25">
      <c r="A62" s="1">
        <v>47939</v>
      </c>
      <c r="B62">
        <f t="shared" si="5"/>
        <v>85.29</v>
      </c>
      <c r="E62">
        <f t="shared" si="2"/>
        <v>-1E-3</v>
      </c>
      <c r="F62">
        <f t="shared" si="7"/>
        <v>0</v>
      </c>
    </row>
    <row r="63" spans="1:6" x14ac:dyDescent="0.25">
      <c r="A63" s="1">
        <v>47969</v>
      </c>
      <c r="B63">
        <f t="shared" si="5"/>
        <v>85.2</v>
      </c>
      <c r="E63">
        <f t="shared" si="2"/>
        <v>-1E-3</v>
      </c>
      <c r="F63">
        <f t="shared" si="7"/>
        <v>0</v>
      </c>
    </row>
    <row r="64" spans="1:6" x14ac:dyDescent="0.25">
      <c r="A64" s="1">
        <v>48000</v>
      </c>
      <c r="B64">
        <f t="shared" si="5"/>
        <v>85.11</v>
      </c>
      <c r="E64">
        <f t="shared" si="2"/>
        <v>-1E-3</v>
      </c>
      <c r="F64">
        <f t="shared" si="7"/>
        <v>0</v>
      </c>
    </row>
    <row r="65" spans="1:6" x14ac:dyDescent="0.25">
      <c r="A65" s="1">
        <v>48030</v>
      </c>
      <c r="B65">
        <f t="shared" si="5"/>
        <v>85.02</v>
      </c>
      <c r="E65">
        <f t="shared" si="2"/>
        <v>-1E-3</v>
      </c>
      <c r="F65">
        <f t="shared" si="7"/>
        <v>0</v>
      </c>
    </row>
    <row r="66" spans="1:6" x14ac:dyDescent="0.25">
      <c r="A66" s="1">
        <v>48061</v>
      </c>
      <c r="B66">
        <f t="shared" si="5"/>
        <v>84.93</v>
      </c>
      <c r="E66">
        <f t="shared" si="2"/>
        <v>-1E-3</v>
      </c>
      <c r="F66">
        <f t="shared" si="7"/>
        <v>0</v>
      </c>
    </row>
    <row r="67" spans="1:6" x14ac:dyDescent="0.25">
      <c r="A67" s="1">
        <v>48092</v>
      </c>
      <c r="B67">
        <f t="shared" si="5"/>
        <v>84.85</v>
      </c>
      <c r="E67">
        <f t="shared" si="2"/>
        <v>-1E-3</v>
      </c>
      <c r="F67">
        <f t="shared" si="7"/>
        <v>0</v>
      </c>
    </row>
    <row r="68" spans="1:6" x14ac:dyDescent="0.25">
      <c r="A68" s="1">
        <v>48122</v>
      </c>
      <c r="B68">
        <f t="shared" si="5"/>
        <v>84.77</v>
      </c>
      <c r="E68">
        <f t="shared" si="2"/>
        <v>-1E-3</v>
      </c>
      <c r="F68">
        <f t="shared" si="7"/>
        <v>0</v>
      </c>
    </row>
    <row r="69" spans="1:6" x14ac:dyDescent="0.25">
      <c r="A69" s="1">
        <v>48153</v>
      </c>
      <c r="B69">
        <f t="shared" si="5"/>
        <v>84.69</v>
      </c>
      <c r="E69">
        <f t="shared" ref="E69:E132" si="8">E68+F69</f>
        <v>-1E-3</v>
      </c>
      <c r="F69">
        <f t="shared" si="7"/>
        <v>0</v>
      </c>
    </row>
    <row r="70" spans="1:6" x14ac:dyDescent="0.25">
      <c r="A70" s="1">
        <v>48183</v>
      </c>
      <c r="B70">
        <f t="shared" si="5"/>
        <v>84.61</v>
      </c>
      <c r="E70">
        <f t="shared" si="8"/>
        <v>-1E-3</v>
      </c>
      <c r="F70">
        <f t="shared" si="7"/>
        <v>0</v>
      </c>
    </row>
    <row r="71" spans="1:6" x14ac:dyDescent="0.25">
      <c r="A71" s="1">
        <v>48214</v>
      </c>
      <c r="B71">
        <f t="shared" si="5"/>
        <v>84.53</v>
      </c>
      <c r="E71">
        <f t="shared" si="8"/>
        <v>-1E-3</v>
      </c>
      <c r="F71">
        <f t="shared" si="7"/>
        <v>0</v>
      </c>
    </row>
    <row r="72" spans="1:6" x14ac:dyDescent="0.25">
      <c r="A72" s="1">
        <v>48245</v>
      </c>
      <c r="B72">
        <f t="shared" si="5"/>
        <v>84.45</v>
      </c>
      <c r="E72">
        <f t="shared" si="8"/>
        <v>-1E-3</v>
      </c>
      <c r="F72">
        <f t="shared" si="7"/>
        <v>0</v>
      </c>
    </row>
    <row r="73" spans="1:6" x14ac:dyDescent="0.25">
      <c r="A73" s="1">
        <v>48274</v>
      </c>
      <c r="B73">
        <f t="shared" ref="B73:B132" si="9">MAX(0,ROUND(B72*(1+E73),2))</f>
        <v>84.37</v>
      </c>
      <c r="E73">
        <f t="shared" si="8"/>
        <v>-1E-3</v>
      </c>
      <c r="F73">
        <f t="shared" si="7"/>
        <v>0</v>
      </c>
    </row>
    <row r="74" spans="1:6" x14ac:dyDescent="0.25">
      <c r="A74" s="1">
        <v>48305</v>
      </c>
      <c r="B74">
        <f t="shared" si="9"/>
        <v>84.29</v>
      </c>
      <c r="E74">
        <f t="shared" si="8"/>
        <v>-1E-3</v>
      </c>
      <c r="F74">
        <f t="shared" si="7"/>
        <v>0</v>
      </c>
    </row>
    <row r="75" spans="1:6" x14ac:dyDescent="0.25">
      <c r="A75" s="1">
        <v>48335</v>
      </c>
      <c r="B75">
        <f t="shared" si="9"/>
        <v>84.21</v>
      </c>
      <c r="E75">
        <f t="shared" si="8"/>
        <v>-1E-3</v>
      </c>
      <c r="F75">
        <f t="shared" si="7"/>
        <v>0</v>
      </c>
    </row>
    <row r="76" spans="1:6" x14ac:dyDescent="0.25">
      <c r="A76" s="1">
        <v>48366</v>
      </c>
      <c r="B76">
        <f t="shared" si="9"/>
        <v>84.13</v>
      </c>
      <c r="E76">
        <f t="shared" si="8"/>
        <v>-1E-3</v>
      </c>
      <c r="F76">
        <f t="shared" si="7"/>
        <v>0</v>
      </c>
    </row>
    <row r="77" spans="1:6" x14ac:dyDescent="0.25">
      <c r="A77" s="1">
        <v>48396</v>
      </c>
      <c r="B77">
        <f t="shared" si="9"/>
        <v>84.05</v>
      </c>
      <c r="E77">
        <f t="shared" si="8"/>
        <v>-1E-3</v>
      </c>
      <c r="F77">
        <f t="shared" si="7"/>
        <v>0</v>
      </c>
    </row>
    <row r="78" spans="1:6" x14ac:dyDescent="0.25">
      <c r="A78" s="1">
        <v>48427</v>
      </c>
      <c r="B78">
        <f t="shared" si="9"/>
        <v>83.97</v>
      </c>
      <c r="E78">
        <f t="shared" si="8"/>
        <v>-1E-3</v>
      </c>
      <c r="F78">
        <f t="shared" si="7"/>
        <v>0</v>
      </c>
    </row>
    <row r="79" spans="1:6" x14ac:dyDescent="0.25">
      <c r="A79" s="1">
        <v>48458</v>
      </c>
      <c r="B79">
        <f t="shared" si="9"/>
        <v>83.89</v>
      </c>
      <c r="E79">
        <f t="shared" si="8"/>
        <v>-1E-3</v>
      </c>
      <c r="F79">
        <f t="shared" si="7"/>
        <v>0</v>
      </c>
    </row>
    <row r="80" spans="1:6" x14ac:dyDescent="0.25">
      <c r="A80" s="1">
        <v>48488</v>
      </c>
      <c r="B80">
        <f t="shared" si="9"/>
        <v>83.81</v>
      </c>
      <c r="E80">
        <f t="shared" si="8"/>
        <v>-1E-3</v>
      </c>
      <c r="F80">
        <f t="shared" si="7"/>
        <v>0</v>
      </c>
    </row>
    <row r="81" spans="1:6" x14ac:dyDescent="0.25">
      <c r="A81" s="1">
        <v>48519</v>
      </c>
      <c r="B81">
        <f t="shared" si="9"/>
        <v>83.73</v>
      </c>
      <c r="E81">
        <f t="shared" si="8"/>
        <v>-1E-3</v>
      </c>
      <c r="F81">
        <f t="shared" si="7"/>
        <v>0</v>
      </c>
    </row>
    <row r="82" spans="1:6" x14ac:dyDescent="0.25">
      <c r="A82" s="1">
        <v>48549</v>
      </c>
      <c r="B82">
        <f t="shared" si="9"/>
        <v>83.65</v>
      </c>
      <c r="E82">
        <f t="shared" si="8"/>
        <v>-1E-3</v>
      </c>
      <c r="F82">
        <f t="shared" si="7"/>
        <v>0</v>
      </c>
    </row>
    <row r="83" spans="1:6" x14ac:dyDescent="0.25">
      <c r="A83" s="1">
        <v>48580</v>
      </c>
      <c r="B83">
        <f t="shared" si="9"/>
        <v>83.57</v>
      </c>
      <c r="E83">
        <f t="shared" si="8"/>
        <v>-1E-3</v>
      </c>
      <c r="F83">
        <f t="shared" si="7"/>
        <v>0</v>
      </c>
    </row>
    <row r="84" spans="1:6" x14ac:dyDescent="0.25">
      <c r="A84" s="1">
        <v>48611</v>
      </c>
      <c r="B84">
        <f t="shared" si="9"/>
        <v>83.49</v>
      </c>
      <c r="E84">
        <f t="shared" si="8"/>
        <v>-1E-3</v>
      </c>
      <c r="F84">
        <f t="shared" si="7"/>
        <v>0</v>
      </c>
    </row>
    <row r="85" spans="1:6" x14ac:dyDescent="0.25">
      <c r="A85" s="1">
        <v>48639</v>
      </c>
      <c r="B85">
        <f t="shared" si="9"/>
        <v>83.41</v>
      </c>
      <c r="E85">
        <f t="shared" si="8"/>
        <v>-1E-3</v>
      </c>
      <c r="F85">
        <f t="shared" si="7"/>
        <v>0</v>
      </c>
    </row>
    <row r="86" spans="1:6" x14ac:dyDescent="0.25">
      <c r="A86" s="1">
        <v>48670</v>
      </c>
      <c r="B86">
        <f t="shared" si="9"/>
        <v>83.33</v>
      </c>
      <c r="E86">
        <f t="shared" si="8"/>
        <v>-1E-3</v>
      </c>
      <c r="F86">
        <f t="shared" si="7"/>
        <v>0</v>
      </c>
    </row>
    <row r="87" spans="1:6" x14ac:dyDescent="0.25">
      <c r="A87" s="1">
        <v>48700</v>
      </c>
      <c r="B87">
        <f t="shared" si="9"/>
        <v>83.25</v>
      </c>
      <c r="E87">
        <f t="shared" si="8"/>
        <v>-1E-3</v>
      </c>
      <c r="F87">
        <f t="shared" si="7"/>
        <v>0</v>
      </c>
    </row>
    <row r="88" spans="1:6" x14ac:dyDescent="0.25">
      <c r="A88" s="1">
        <v>48731</v>
      </c>
      <c r="B88">
        <f t="shared" si="9"/>
        <v>83.17</v>
      </c>
      <c r="E88">
        <f t="shared" si="8"/>
        <v>-1E-3</v>
      </c>
      <c r="F88">
        <f t="shared" si="7"/>
        <v>0</v>
      </c>
    </row>
    <row r="89" spans="1:6" x14ac:dyDescent="0.25">
      <c r="A89" s="1">
        <v>48761</v>
      </c>
      <c r="B89">
        <f t="shared" si="9"/>
        <v>83.09</v>
      </c>
      <c r="E89">
        <f t="shared" si="8"/>
        <v>-1E-3</v>
      </c>
      <c r="F89">
        <f t="shared" si="7"/>
        <v>0</v>
      </c>
    </row>
    <row r="90" spans="1:6" x14ac:dyDescent="0.25">
      <c r="A90" s="1">
        <v>48792</v>
      </c>
      <c r="B90">
        <f t="shared" si="9"/>
        <v>83.01</v>
      </c>
      <c r="E90">
        <f t="shared" si="8"/>
        <v>-1E-3</v>
      </c>
      <c r="F90">
        <f t="shared" ref="F90:F132" si="10">F89</f>
        <v>0</v>
      </c>
    </row>
    <row r="91" spans="1:6" x14ac:dyDescent="0.25">
      <c r="A91" s="1">
        <v>48823</v>
      </c>
      <c r="B91">
        <f t="shared" si="9"/>
        <v>82.93</v>
      </c>
      <c r="E91">
        <f t="shared" si="8"/>
        <v>-1E-3</v>
      </c>
      <c r="F91">
        <f t="shared" si="10"/>
        <v>0</v>
      </c>
    </row>
    <row r="92" spans="1:6" x14ac:dyDescent="0.25">
      <c r="A92" s="1">
        <v>48853</v>
      </c>
      <c r="B92">
        <f t="shared" si="9"/>
        <v>82.85</v>
      </c>
      <c r="E92">
        <f t="shared" si="8"/>
        <v>-1E-3</v>
      </c>
      <c r="F92">
        <f t="shared" si="10"/>
        <v>0</v>
      </c>
    </row>
    <row r="93" spans="1:6" x14ac:dyDescent="0.25">
      <c r="A93" s="1">
        <v>48884</v>
      </c>
      <c r="B93">
        <f t="shared" si="9"/>
        <v>82.77</v>
      </c>
      <c r="E93">
        <f t="shared" si="8"/>
        <v>-1E-3</v>
      </c>
      <c r="F93">
        <f t="shared" si="10"/>
        <v>0</v>
      </c>
    </row>
    <row r="94" spans="1:6" x14ac:dyDescent="0.25">
      <c r="A94" s="1">
        <v>48914</v>
      </c>
      <c r="B94">
        <f t="shared" si="9"/>
        <v>82.69</v>
      </c>
      <c r="E94">
        <f t="shared" si="8"/>
        <v>-1E-3</v>
      </c>
      <c r="F94">
        <f t="shared" si="10"/>
        <v>0</v>
      </c>
    </row>
    <row r="95" spans="1:6" x14ac:dyDescent="0.25">
      <c r="A95" s="1">
        <v>48945</v>
      </c>
      <c r="B95">
        <f t="shared" si="9"/>
        <v>82.61</v>
      </c>
      <c r="E95">
        <f t="shared" si="8"/>
        <v>-1E-3</v>
      </c>
      <c r="F95">
        <f t="shared" si="10"/>
        <v>0</v>
      </c>
    </row>
    <row r="96" spans="1:6" x14ac:dyDescent="0.25">
      <c r="A96" s="1">
        <v>48976</v>
      </c>
      <c r="B96">
        <f t="shared" si="9"/>
        <v>82.53</v>
      </c>
      <c r="E96">
        <f t="shared" si="8"/>
        <v>-1E-3</v>
      </c>
      <c r="F96">
        <f t="shared" si="10"/>
        <v>0</v>
      </c>
    </row>
    <row r="97" spans="1:6" x14ac:dyDescent="0.25">
      <c r="A97" s="1">
        <v>49004</v>
      </c>
      <c r="B97">
        <f t="shared" si="9"/>
        <v>82.45</v>
      </c>
      <c r="E97">
        <f t="shared" si="8"/>
        <v>-1E-3</v>
      </c>
      <c r="F97">
        <f t="shared" si="10"/>
        <v>0</v>
      </c>
    </row>
    <row r="98" spans="1:6" x14ac:dyDescent="0.25">
      <c r="A98" s="1">
        <v>49035</v>
      </c>
      <c r="B98">
        <f t="shared" si="9"/>
        <v>82.37</v>
      </c>
      <c r="E98">
        <f t="shared" si="8"/>
        <v>-1E-3</v>
      </c>
      <c r="F98">
        <f t="shared" si="10"/>
        <v>0</v>
      </c>
    </row>
    <row r="99" spans="1:6" x14ac:dyDescent="0.25">
      <c r="A99" s="1">
        <v>49065</v>
      </c>
      <c r="B99">
        <f t="shared" si="9"/>
        <v>82.29</v>
      </c>
      <c r="E99">
        <f t="shared" si="8"/>
        <v>-1E-3</v>
      </c>
      <c r="F99">
        <f t="shared" si="10"/>
        <v>0</v>
      </c>
    </row>
    <row r="100" spans="1:6" x14ac:dyDescent="0.25">
      <c r="A100" s="1">
        <v>49096</v>
      </c>
      <c r="B100">
        <f t="shared" si="9"/>
        <v>82.21</v>
      </c>
      <c r="E100">
        <f t="shared" si="8"/>
        <v>-1E-3</v>
      </c>
      <c r="F100">
        <f t="shared" si="10"/>
        <v>0</v>
      </c>
    </row>
    <row r="101" spans="1:6" x14ac:dyDescent="0.25">
      <c r="A101" s="1">
        <v>49126</v>
      </c>
      <c r="B101">
        <f t="shared" si="9"/>
        <v>82.13</v>
      </c>
      <c r="E101">
        <f t="shared" si="8"/>
        <v>-1E-3</v>
      </c>
      <c r="F101">
        <f t="shared" si="10"/>
        <v>0</v>
      </c>
    </row>
    <row r="102" spans="1:6" x14ac:dyDescent="0.25">
      <c r="A102" s="1">
        <v>49157</v>
      </c>
      <c r="B102">
        <f t="shared" si="9"/>
        <v>82.05</v>
      </c>
      <c r="E102">
        <f t="shared" si="8"/>
        <v>-1E-3</v>
      </c>
      <c r="F102">
        <f t="shared" si="10"/>
        <v>0</v>
      </c>
    </row>
    <row r="103" spans="1:6" x14ac:dyDescent="0.25">
      <c r="A103" s="1">
        <v>49188</v>
      </c>
      <c r="B103">
        <f t="shared" si="9"/>
        <v>81.97</v>
      </c>
      <c r="E103">
        <f t="shared" si="8"/>
        <v>-1E-3</v>
      </c>
      <c r="F103">
        <f t="shared" si="10"/>
        <v>0</v>
      </c>
    </row>
    <row r="104" spans="1:6" x14ac:dyDescent="0.25">
      <c r="A104" s="1">
        <v>49218</v>
      </c>
      <c r="B104">
        <f t="shared" si="9"/>
        <v>81.89</v>
      </c>
      <c r="E104">
        <f t="shared" si="8"/>
        <v>-1E-3</v>
      </c>
      <c r="F104">
        <f t="shared" si="10"/>
        <v>0</v>
      </c>
    </row>
    <row r="105" spans="1:6" x14ac:dyDescent="0.25">
      <c r="A105" s="1">
        <v>49249</v>
      </c>
      <c r="B105">
        <f t="shared" si="9"/>
        <v>81.81</v>
      </c>
      <c r="E105">
        <f t="shared" si="8"/>
        <v>-1E-3</v>
      </c>
      <c r="F105">
        <f t="shared" si="10"/>
        <v>0</v>
      </c>
    </row>
    <row r="106" spans="1:6" x14ac:dyDescent="0.25">
      <c r="A106" s="1">
        <v>49279</v>
      </c>
      <c r="B106">
        <f t="shared" si="9"/>
        <v>81.73</v>
      </c>
      <c r="E106">
        <f t="shared" si="8"/>
        <v>-1E-3</v>
      </c>
      <c r="F106">
        <f t="shared" si="10"/>
        <v>0</v>
      </c>
    </row>
    <row r="107" spans="1:6" x14ac:dyDescent="0.25">
      <c r="A107" s="1">
        <v>49310</v>
      </c>
      <c r="B107">
        <f t="shared" si="9"/>
        <v>81.650000000000006</v>
      </c>
      <c r="E107">
        <f t="shared" si="8"/>
        <v>-1E-3</v>
      </c>
      <c r="F107">
        <f t="shared" si="10"/>
        <v>0</v>
      </c>
    </row>
    <row r="108" spans="1:6" x14ac:dyDescent="0.25">
      <c r="A108" s="1">
        <v>49341</v>
      </c>
      <c r="B108">
        <f t="shared" si="9"/>
        <v>81.569999999999993</v>
      </c>
      <c r="E108">
        <f t="shared" si="8"/>
        <v>-1E-3</v>
      </c>
      <c r="F108">
        <f t="shared" si="10"/>
        <v>0</v>
      </c>
    </row>
    <row r="109" spans="1:6" x14ac:dyDescent="0.25">
      <c r="A109" s="1">
        <v>49369</v>
      </c>
      <c r="B109">
        <f t="shared" si="9"/>
        <v>81.489999999999995</v>
      </c>
      <c r="E109">
        <f t="shared" si="8"/>
        <v>-1E-3</v>
      </c>
      <c r="F109">
        <f t="shared" si="10"/>
        <v>0</v>
      </c>
    </row>
    <row r="110" spans="1:6" x14ac:dyDescent="0.25">
      <c r="A110" s="1">
        <v>49400</v>
      </c>
      <c r="B110">
        <f t="shared" si="9"/>
        <v>81.41</v>
      </c>
      <c r="E110">
        <f t="shared" si="8"/>
        <v>-1E-3</v>
      </c>
      <c r="F110">
        <f t="shared" si="10"/>
        <v>0</v>
      </c>
    </row>
    <row r="111" spans="1:6" x14ac:dyDescent="0.25">
      <c r="A111" s="1">
        <v>49430</v>
      </c>
      <c r="B111">
        <f t="shared" si="9"/>
        <v>81.33</v>
      </c>
      <c r="E111">
        <f t="shared" si="8"/>
        <v>-1E-3</v>
      </c>
      <c r="F111">
        <f t="shared" si="10"/>
        <v>0</v>
      </c>
    </row>
    <row r="112" spans="1:6" x14ac:dyDescent="0.25">
      <c r="A112" s="1">
        <v>49461</v>
      </c>
      <c r="B112">
        <f t="shared" si="9"/>
        <v>81.25</v>
      </c>
      <c r="E112">
        <f t="shared" si="8"/>
        <v>-1E-3</v>
      </c>
      <c r="F112">
        <f t="shared" si="10"/>
        <v>0</v>
      </c>
    </row>
    <row r="113" spans="1:6" x14ac:dyDescent="0.25">
      <c r="A113" s="1">
        <v>49491</v>
      </c>
      <c r="B113">
        <f t="shared" si="9"/>
        <v>81.17</v>
      </c>
      <c r="E113">
        <f t="shared" si="8"/>
        <v>-1E-3</v>
      </c>
      <c r="F113">
        <f t="shared" si="10"/>
        <v>0</v>
      </c>
    </row>
    <row r="114" spans="1:6" x14ac:dyDescent="0.25">
      <c r="A114" s="1">
        <v>49522</v>
      </c>
      <c r="B114">
        <f t="shared" si="9"/>
        <v>81.09</v>
      </c>
      <c r="E114">
        <f t="shared" si="8"/>
        <v>-1E-3</v>
      </c>
      <c r="F114">
        <f t="shared" si="10"/>
        <v>0</v>
      </c>
    </row>
    <row r="115" spans="1:6" x14ac:dyDescent="0.25">
      <c r="A115" s="1">
        <v>49553</v>
      </c>
      <c r="B115">
        <f t="shared" si="9"/>
        <v>81.010000000000005</v>
      </c>
      <c r="E115">
        <f t="shared" si="8"/>
        <v>-1E-3</v>
      </c>
      <c r="F115">
        <f t="shared" si="10"/>
        <v>0</v>
      </c>
    </row>
    <row r="116" spans="1:6" x14ac:dyDescent="0.25">
      <c r="A116" s="1">
        <v>49583</v>
      </c>
      <c r="B116">
        <f t="shared" si="9"/>
        <v>80.930000000000007</v>
      </c>
      <c r="E116">
        <f t="shared" si="8"/>
        <v>-1E-3</v>
      </c>
      <c r="F116">
        <f t="shared" si="10"/>
        <v>0</v>
      </c>
    </row>
    <row r="117" spans="1:6" x14ac:dyDescent="0.25">
      <c r="A117" s="1">
        <v>49614</v>
      </c>
      <c r="B117">
        <f t="shared" si="9"/>
        <v>80.849999999999994</v>
      </c>
      <c r="E117">
        <f t="shared" si="8"/>
        <v>-1E-3</v>
      </c>
      <c r="F117">
        <f t="shared" si="10"/>
        <v>0</v>
      </c>
    </row>
    <row r="118" spans="1:6" x14ac:dyDescent="0.25">
      <c r="A118" s="1">
        <v>49644</v>
      </c>
      <c r="B118">
        <f t="shared" si="9"/>
        <v>80.77</v>
      </c>
      <c r="E118">
        <f t="shared" si="8"/>
        <v>-1E-3</v>
      </c>
      <c r="F118">
        <f t="shared" si="10"/>
        <v>0</v>
      </c>
    </row>
    <row r="119" spans="1:6" x14ac:dyDescent="0.25">
      <c r="A119" s="1">
        <v>49675</v>
      </c>
      <c r="B119">
        <f t="shared" si="9"/>
        <v>80.69</v>
      </c>
      <c r="E119">
        <f t="shared" si="8"/>
        <v>-1E-3</v>
      </c>
      <c r="F119">
        <f t="shared" si="10"/>
        <v>0</v>
      </c>
    </row>
    <row r="120" spans="1:6" x14ac:dyDescent="0.25">
      <c r="A120" s="1">
        <v>49706</v>
      </c>
      <c r="B120">
        <f t="shared" si="9"/>
        <v>80.61</v>
      </c>
      <c r="E120">
        <f t="shared" si="8"/>
        <v>-1E-3</v>
      </c>
      <c r="F120">
        <f t="shared" si="10"/>
        <v>0</v>
      </c>
    </row>
    <row r="121" spans="1:6" x14ac:dyDescent="0.25">
      <c r="A121" s="1">
        <v>49735</v>
      </c>
      <c r="B121">
        <f t="shared" si="9"/>
        <v>80.53</v>
      </c>
      <c r="E121">
        <f t="shared" si="8"/>
        <v>-1E-3</v>
      </c>
      <c r="F121">
        <f t="shared" si="10"/>
        <v>0</v>
      </c>
    </row>
    <row r="122" spans="1:6" x14ac:dyDescent="0.25">
      <c r="A122" s="1">
        <v>49766</v>
      </c>
      <c r="B122">
        <f t="shared" si="9"/>
        <v>80.45</v>
      </c>
      <c r="E122">
        <f t="shared" si="8"/>
        <v>-1E-3</v>
      </c>
      <c r="F122">
        <f t="shared" si="10"/>
        <v>0</v>
      </c>
    </row>
    <row r="123" spans="1:6" x14ac:dyDescent="0.25">
      <c r="A123" s="1">
        <v>49796</v>
      </c>
      <c r="B123">
        <f t="shared" si="9"/>
        <v>80.37</v>
      </c>
      <c r="E123">
        <f t="shared" si="8"/>
        <v>-1E-3</v>
      </c>
      <c r="F123">
        <f t="shared" si="10"/>
        <v>0</v>
      </c>
    </row>
    <row r="124" spans="1:6" x14ac:dyDescent="0.25">
      <c r="A124" s="1">
        <v>49827</v>
      </c>
      <c r="B124">
        <f t="shared" si="9"/>
        <v>80.290000000000006</v>
      </c>
      <c r="E124">
        <f t="shared" si="8"/>
        <v>-1E-3</v>
      </c>
      <c r="F124">
        <f t="shared" si="10"/>
        <v>0</v>
      </c>
    </row>
    <row r="125" spans="1:6" x14ac:dyDescent="0.25">
      <c r="A125" s="1">
        <v>49857</v>
      </c>
      <c r="B125">
        <f t="shared" si="9"/>
        <v>80.209999999999994</v>
      </c>
      <c r="E125">
        <f t="shared" si="8"/>
        <v>-1E-3</v>
      </c>
      <c r="F125">
        <f t="shared" si="10"/>
        <v>0</v>
      </c>
    </row>
    <row r="126" spans="1:6" x14ac:dyDescent="0.25">
      <c r="A126" s="1">
        <v>49888</v>
      </c>
      <c r="B126">
        <f t="shared" si="9"/>
        <v>80.13</v>
      </c>
      <c r="E126">
        <f t="shared" si="8"/>
        <v>-1E-3</v>
      </c>
      <c r="F126">
        <f t="shared" si="10"/>
        <v>0</v>
      </c>
    </row>
    <row r="127" spans="1:6" x14ac:dyDescent="0.25">
      <c r="A127" s="1">
        <v>49919</v>
      </c>
      <c r="B127">
        <f t="shared" si="9"/>
        <v>80.05</v>
      </c>
      <c r="E127">
        <f t="shared" si="8"/>
        <v>-1E-3</v>
      </c>
      <c r="F127">
        <f t="shared" si="10"/>
        <v>0</v>
      </c>
    </row>
    <row r="128" spans="1:6" x14ac:dyDescent="0.25">
      <c r="A128" s="1">
        <v>49949</v>
      </c>
      <c r="B128">
        <f t="shared" si="9"/>
        <v>79.97</v>
      </c>
      <c r="E128">
        <f t="shared" si="8"/>
        <v>-1E-3</v>
      </c>
      <c r="F128">
        <f t="shared" si="10"/>
        <v>0</v>
      </c>
    </row>
    <row r="129" spans="1:6" x14ac:dyDescent="0.25">
      <c r="A129" s="1">
        <v>49980</v>
      </c>
      <c r="B129">
        <f t="shared" si="9"/>
        <v>79.89</v>
      </c>
      <c r="E129">
        <f t="shared" si="8"/>
        <v>-1E-3</v>
      </c>
      <c r="F129">
        <f t="shared" si="10"/>
        <v>0</v>
      </c>
    </row>
    <row r="130" spans="1:6" x14ac:dyDescent="0.25">
      <c r="A130" s="1">
        <v>50010</v>
      </c>
      <c r="B130">
        <f t="shared" si="9"/>
        <v>79.81</v>
      </c>
      <c r="E130">
        <f t="shared" si="8"/>
        <v>-1E-3</v>
      </c>
      <c r="F130">
        <f t="shared" si="10"/>
        <v>0</v>
      </c>
    </row>
    <row r="131" spans="1:6" x14ac:dyDescent="0.25">
      <c r="A131" s="1">
        <v>50041</v>
      </c>
      <c r="B131">
        <f t="shared" si="9"/>
        <v>79.73</v>
      </c>
      <c r="E131">
        <f t="shared" si="8"/>
        <v>-1E-3</v>
      </c>
      <c r="F131">
        <f t="shared" si="10"/>
        <v>0</v>
      </c>
    </row>
    <row r="132" spans="1:6" x14ac:dyDescent="0.25">
      <c r="A132" s="1">
        <v>50072</v>
      </c>
      <c r="B132">
        <f t="shared" si="9"/>
        <v>79.650000000000006</v>
      </c>
      <c r="E132">
        <f t="shared" si="8"/>
        <v>-1E-3</v>
      </c>
      <c r="F132">
        <f t="shared" si="10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4159A-87BE-42CC-A50F-A63E43090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Curve Structure Jet</vt:lpstr>
      <vt:lpstr>Curve Structure WTI</vt:lpstr>
      <vt:lpstr>Curve Structure Brent</vt:lpstr>
      <vt:lpstr>NRCAN Canaada Average</vt:lpstr>
      <vt:lpstr>Curve Structure USDCAD</vt:lpstr>
      <vt:lpstr>Curve Structure Diesel</vt:lpstr>
      <vt:lpstr>Spot vs Forwards</vt:lpstr>
      <vt:lpstr>Diesel</vt:lpstr>
      <vt:lpstr>FXRates</vt:lpstr>
      <vt:lpstr>StartDate</vt:lpstr>
      <vt:lpstr>Spot</vt:lpstr>
      <vt:lpstr>Forecast Values</vt:lpstr>
      <vt:lpstr>Forecast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2026-04-13T12:50:35Z</dcterms:created>
  <dcterms:modified xsi:type="dcterms:W3CDTF">2026-04-15T15:50:55Z</dcterms:modified>
</cp:coreProperties>
</file>