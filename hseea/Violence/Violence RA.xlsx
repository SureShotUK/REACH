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teveIrwin\terminai\hseea\Violence\"/>
    </mc:Choice>
  </mc:AlternateContent>
  <xr:revisionPtr revIDLastSave="0" documentId="13_ncr:1_{FE1D77A7-F7FD-41B2-AD56-7BA62BBBA99A}" xr6:coauthVersionLast="47" xr6:coauthVersionMax="47" xr10:uidLastSave="{00000000-0000-0000-0000-000000000000}"/>
  <bookViews>
    <workbookView xWindow="-120" yWindow="-120" windowWidth="29040" windowHeight="15720" xr2:uid="{1593C367-8DF1-4177-8D83-1B76F4472023}"/>
  </bookViews>
  <sheets>
    <sheet name="VA-RA" sheetId="1" r:id="rId1"/>
    <sheet name="Risk Ratings" sheetId="2" r:id="rId2"/>
    <sheet name="Version Contro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 l="1"/>
  <c r="H20" i="1"/>
  <c r="H19" i="1"/>
  <c r="H18" i="1"/>
  <c r="H17" i="1"/>
  <c r="H16" i="1"/>
  <c r="H15" i="1"/>
  <c r="H14" i="1"/>
  <c r="H13" i="1"/>
  <c r="H12" i="1"/>
  <c r="H11" i="1"/>
  <c r="H10" i="1"/>
  <c r="H9" i="1"/>
  <c r="H8" i="1"/>
  <c r="N8" i="1"/>
  <c r="N9" i="1"/>
  <c r="N10" i="1"/>
  <c r="N11" i="1"/>
  <c r="N12" i="1"/>
  <c r="N13" i="1"/>
  <c r="N14" i="1"/>
  <c r="N15" i="1"/>
  <c r="N16" i="1"/>
  <c r="N17" i="1"/>
  <c r="N18" i="1"/>
  <c r="N19" i="1"/>
  <c r="N20" i="1"/>
  <c r="N21" i="1"/>
  <c r="N7" i="1"/>
  <c r="H7" i="1"/>
  <c r="L10" i="2"/>
  <c r="K10" i="2"/>
  <c r="J10" i="2"/>
  <c r="I10" i="2"/>
  <c r="H10" i="2"/>
  <c r="L9" i="2"/>
  <c r="K9" i="2"/>
  <c r="J9" i="2"/>
  <c r="I9" i="2"/>
  <c r="H9" i="2"/>
  <c r="L8" i="2"/>
  <c r="K8" i="2"/>
  <c r="J8" i="2"/>
  <c r="I8" i="2"/>
  <c r="H8" i="2"/>
  <c r="L7" i="2"/>
  <c r="K7" i="2"/>
  <c r="J7" i="2"/>
  <c r="I7" i="2"/>
  <c r="H7" i="2"/>
  <c r="L6" i="2"/>
  <c r="K6" i="2"/>
  <c r="J6" i="2"/>
  <c r="I6" i="2"/>
  <c r="H6" i="2"/>
</calcChain>
</file>

<file path=xl/sharedStrings.xml><?xml version="1.0" encoding="utf-8"?>
<sst xmlns="http://schemas.openxmlformats.org/spreadsheetml/2006/main" count="175" uniqueCount="107">
  <si>
    <t>Assessment Date</t>
  </si>
  <si>
    <t>Assessor Name</t>
  </si>
  <si>
    <t>Position</t>
  </si>
  <si>
    <t>Activity/Task Description</t>
  </si>
  <si>
    <t>Hazard Description</t>
  </si>
  <si>
    <t>Who is at Risk?</t>
  </si>
  <si>
    <t>How might they be harmed?</t>
  </si>
  <si>
    <t>Existing Control Measures</t>
  </si>
  <si>
    <t>Initial Likelihood (1-5)</t>
  </si>
  <si>
    <t>Initial Severity (1-5)</t>
  </si>
  <si>
    <t>Initial Risk Rating (L x S)</t>
  </si>
  <si>
    <t>Further Control Measures (Hierarchy of Control)</t>
  </si>
  <si>
    <t>Action Owner</t>
  </si>
  <si>
    <t>Target Date</t>
  </si>
  <si>
    <t>Residual Likelihood (1-5)</t>
  </si>
  <si>
    <t>Residual Severity (1-5)</t>
  </si>
  <si>
    <t>Residual Risk Rating (L x S)</t>
  </si>
  <si>
    <t>Review Date</t>
  </si>
  <si>
    <t>Steve Irwin</t>
  </si>
  <si>
    <t>Procedure Assessed</t>
  </si>
  <si>
    <t>Rating</t>
  </si>
  <si>
    <t>Severity Label</t>
  </si>
  <si>
    <t>Severity Definition</t>
  </si>
  <si>
    <t>Insignificant / Negligible</t>
  </si>
  <si>
    <t>Minor injury (e.g. small cut or bruise); no time off required; negligible damage.</t>
  </si>
  <si>
    <t>Minor / Minor Injury</t>
  </si>
  <si>
    <t>First aid required; limited and easily manageable impact; minor damage.</t>
  </si>
  <si>
    <t>RISK / PRIORITY INDICATOR MATRIX</t>
  </si>
  <si>
    <t>Moderate / Moderate Injury</t>
  </si>
  <si>
    <t>Noticeable injury or illness requiring medical treatment; lost time; significant damage.</t>
  </si>
  <si>
    <t>Likliehood</t>
  </si>
  <si>
    <t>Major / Major Injury</t>
  </si>
  <si>
    <t>Significant injury or long-term disability; major damage; serious breach of safety standards.</t>
  </si>
  <si>
    <t>Catastrophic / Death</t>
  </si>
  <si>
    <t>Fatal or catastrophic harm; multi-person impact; total loss of facility or process.</t>
  </si>
  <si>
    <t>Likelihood Label</t>
  </si>
  <si>
    <t>Likelihood Definition</t>
  </si>
  <si>
    <t>Rare / Very Unlikely</t>
  </si>
  <si>
    <t>Minimal chance of occurrence; highly unlikely.</t>
  </si>
  <si>
    <t>Unlikely</t>
  </si>
  <si>
    <t>Low probability but not negligible; may happen sporadically or under specific circumstances.</t>
  </si>
  <si>
    <t>Severity</t>
  </si>
  <si>
    <t>Possible / Moderate</t>
  </si>
  <si>
    <t>Moderate chance of occurrence; neither uncommon nor frequent.</t>
  </si>
  <si>
    <t>Likely</t>
  </si>
  <si>
    <t>Significant probability; a good chance it will happen.</t>
  </si>
  <si>
    <t>Almost Certain</t>
  </si>
  <si>
    <t>Highly likely to happen; practically a certainty.</t>
  </si>
  <si>
    <t>Summary</t>
  </si>
  <si>
    <t>Suggested Timeframe</t>
  </si>
  <si>
    <t>&gt;=12</t>
  </si>
  <si>
    <t>High</t>
  </si>
  <si>
    <t>As soon as possible</t>
  </si>
  <si>
    <t>&gt;=6</t>
  </si>
  <si>
    <t>Medium</t>
  </si>
  <si>
    <t>Within next 3-6 months</t>
  </si>
  <si>
    <t>&lt;=5</t>
  </si>
  <si>
    <t>Low</t>
  </si>
  <si>
    <t>Whenever viable to do so</t>
  </si>
  <si>
    <t>Alex Wood</t>
  </si>
  <si>
    <t>Status/
Comments</t>
  </si>
  <si>
    <t>Business Visitors to Office Premises</t>
  </si>
  <si>
    <t>Abusive or Threatening Contact by Telephone or Email</t>
  </si>
  <si>
    <t>Delivery Drivers - Lone Workers at Customer Premises</t>
  </si>
  <si>
    <t>Lone Working on Company Premises Outside Core Hours</t>
  </si>
  <si>
    <t>Warehouse Operatives - Interactions with Third-Party Drivers and Contractors</t>
  </si>
  <si>
    <t>An invited business visitor (customer, supplier, or other professional contact) attending company office premises becomes verbally abusive, threatening, or physically aggressive during a meeting or visit.</t>
  </si>
  <si>
    <t>A customer, supplier, or other business contact contacts an employee by telephone or email and is verbally abusive, uses threatening language, or engages in persistent harassment or intimidation. Verbal abuse can cause significant psychological harm and is within the HSE definition of work-related violence.</t>
  </si>
  <si>
    <t>A driver attending a customer's industrial or commercial site encounters an aggressive or threatening individual. This may be a customer employee, visitor to the customer's premises, or an intruder. Drivers are lone workers with no colleague present to assist or raise the alarm. This is the highest-risk scenario in this assessment due to the combination of lone working and attendance at premises not under the company's control.</t>
  </si>
  <si>
    <t>An employee working alone on site (early morning start, late finish, or occasional weekend working) encounters an unauthorised person who has gained access to the premises. The primary risk is from an opportunistic intruder rather than a known individual. The lone worker is more vulnerable due to the absence of colleagues nearby.</t>
  </si>
  <si>
    <t>Third-party delivery drivers, collection drivers, or contractors attending the warehouse become verbally abusive or threatening. Disputes may arise over loading/unloading procedures, waiting times, or damage to goods. The warehouse environment involves contact with individuals not subject to the company's own behavioural expectations.</t>
  </si>
  <si>
    <t>Office staff</t>
  </si>
  <si>
    <t>Office staff - particularly those handling customer/supplier calls and correspondence</t>
  </si>
  <si>
    <t>Delivery drivers</t>
  </si>
  <si>
    <t>Any employee working alone on company premises outside standard working hours</t>
  </si>
  <si>
    <t>Warehouse operatives</t>
  </si>
  <si>
    <t>By physical or verbal aggression impacting mental health and wellbeing and / or physical harm</t>
  </si>
  <si>
    <t>By verbal aggression impacting mental health and wellbeing</t>
  </si>
  <si>
    <t>Visitors are invited and expected in advance - no unannounced public access; Visitor sign-in procedure in place at reception/entrance; CCTV installed and operational; Small workforce means staff are rarely alone with visitors</t>
  </si>
  <si>
    <t>Company Violence and Aggression Policy states that verbal abuse of staff will not be tolerated; No formal documented procedure currently exists for staff to follow when dealing with an abusive call</t>
  </si>
  <si>
    <t>All deliveries to known and established B2B customers - no deliveries to private residences; No cash changes hands at point of delivery; Drivers carry mobile phones and can contact the office</t>
  </si>
  <si>
    <t>CCTV installed and operational; Premises are lockable; Staff carry mobile phones</t>
  </si>
  <si>
    <t>CCTV covers warehouse/loading areas; Warehouse supervisory presence during normal operations</t>
  </si>
  <si>
    <t>Brief all office staff on the procedure if a visitor becomes threatening: ask them to leave; call a colleague or manager; call police (999) if necessary; do not attempt to physically intervene</t>
  </si>
  <si>
    <t>Establish and document a written procedure for handling abusive telephone and email contact. Procedure must state: (1) staff may warn the caller once that their behaviour is unacceptable; (2) if behaviour continues staff may end the call without repercussion from management; (3) staff should report the incident using the company incident log</t>
  </si>
  <si>
    <t>Communicate the abusive call/email procedure to all office staff and confirm understanding</t>
  </si>
  <si>
    <t>Establish and maintain a company incident log for recording all violence/aggression incidents including abusive calls and emails (all types, all locations)</t>
  </si>
  <si>
    <t>Establish a formal driver check-in procedure: drivers must contact the office on arrival at and departure from each delivery; office must have a procedure to initiate a welfare check if driver has not made contact within agreed time after expected delivery</t>
  </si>
  <si>
    <t>Communicate to all drivers in writing that they have the explicit right to refuse a delivery and leave any premises immediately if they feel unsafe or threatened, without any repercussion from management. Drivers should not attempt to resolve threatening situations by confrontation.</t>
  </si>
  <si>
    <t>Establish an emergency contact procedure for drivers operating outside standard office hours: a named emergency contact (personal mobile) who can be reached if the office is unstaffed</t>
  </si>
  <si>
    <t>Maintain a daily delivery schedule so that driver whereabouts are known at all times during the working day</t>
  </si>
  <si>
    <t>Advise drivers of the actions to take if threatened or assaulted: (1) move away from the situation; (2) do not attempt to recover goods by force; (3) call 999 if in immediate danger; (4) call the office/emergency contact; (5) report incident using the company incident log</t>
  </si>
  <si>
    <t>Establish a lone worker check-in procedure for on-site working outside core hours: (1) employee must notify a designated contact before commencing and confirm expected finish time; (2) employee must confirm safe completion to the designated contact; (3) designated contact must initiate a welfare check if no confirmation received by the agreed time</t>
  </si>
  <si>
    <t>Confirm that premises access points are secured when an employee is working alone on site (doors locked, windows closed). Include this requirement in the lone worker procedure.</t>
  </si>
  <si>
    <t>Ensure all employees have a charged mobile phone with them at all times when lone working on site</t>
  </si>
  <si>
    <t>Confirm that the visitor/contractor sign-in procedure extends to the warehouse and loading areas, not only to the office reception</t>
  </si>
  <si>
    <t>Install notices at warehouse entrance/loading bay advising that verbal abuse, threats, or aggressive behaviour towards staff will not be tolerated and may result in refusal of service and reporting to police</t>
  </si>
  <si>
    <t>Brief warehouse operatives on the incident reporting procedure and confirm they know how to request management support if a third-party driver or contractor becomes abusive</t>
  </si>
  <si>
    <t>Zak Ali</t>
  </si>
  <si>
    <t>Emma McIntosh</t>
  </si>
  <si>
    <t>Director</t>
  </si>
  <si>
    <t>Violence and Agression towards Staff</t>
  </si>
  <si>
    <t>Version</t>
  </si>
  <si>
    <t>VA-RA-001</t>
  </si>
  <si>
    <t>Date</t>
  </si>
  <si>
    <t>Notes</t>
  </si>
  <si>
    <t>Document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</si>
</sst>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rgb="FFFFFFFF"/>
      <name val="Arial"/>
      <family val="2"/>
    </font>
    <font>
      <sz val="9"/>
      <color rgb="FF00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2054D"/>
        <bgColor indexed="64"/>
      </patternFill>
    </fill>
    <fill>
      <patternFill patternType="solid">
        <fgColor rgb="FFFF0000"/>
        <bgColor indexed="64"/>
      </patternFill>
    </fill>
    <fill>
      <patternFill patternType="solid">
        <fgColor rgb="FFFF9900"/>
        <bgColor indexed="64"/>
      </patternFill>
    </fill>
    <fill>
      <patternFill patternType="solid">
        <fgColor rgb="FF00FF00"/>
        <bgColor indexed="64"/>
      </patternFill>
    </fill>
  </fills>
  <borders count="4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rgb="FF999999"/>
      </bottom>
      <diagonal/>
    </border>
    <border>
      <left/>
      <right style="medium">
        <color rgb="FF999999"/>
      </right>
      <top style="medium">
        <color indexed="64"/>
      </top>
      <bottom style="medium">
        <color rgb="FF999999"/>
      </bottom>
      <diagonal/>
    </border>
    <border>
      <left style="medium">
        <color rgb="FF999999"/>
      </left>
      <right/>
      <top style="medium">
        <color indexed="64"/>
      </top>
      <bottom style="medium">
        <color rgb="FF999999"/>
      </bottom>
      <diagonal/>
    </border>
    <border>
      <left/>
      <right/>
      <top style="medium">
        <color indexed="64"/>
      </top>
      <bottom style="medium">
        <color rgb="FF999999"/>
      </bottom>
      <diagonal/>
    </border>
    <border>
      <left/>
      <right style="medium">
        <color indexed="64"/>
      </right>
      <top style="medium">
        <color indexed="64"/>
      </top>
      <bottom style="medium">
        <color rgb="FF999999"/>
      </bottom>
      <diagonal/>
    </border>
    <border>
      <left/>
      <right style="medium">
        <color indexed="64"/>
      </right>
      <top/>
      <bottom style="medium">
        <color rgb="FF999999"/>
      </bottom>
      <diagonal/>
    </border>
    <border>
      <left/>
      <right style="medium">
        <color rgb="FF999999"/>
      </right>
      <top style="medium">
        <color rgb="FF999999"/>
      </top>
      <bottom style="medium">
        <color rgb="FF999999"/>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indexed="64"/>
      </right>
      <top style="medium">
        <color rgb="FF999999"/>
      </top>
      <bottom style="medium">
        <color rgb="FF999999"/>
      </bottom>
      <diagonal/>
    </border>
    <border>
      <left/>
      <right style="medium">
        <color rgb="FF999999"/>
      </right>
      <top/>
      <bottom style="medium">
        <color rgb="FF999999"/>
      </bottom>
      <diagonal/>
    </border>
    <border>
      <left/>
      <right style="medium">
        <color rgb="FF999999"/>
      </right>
      <top/>
      <bottom style="medium">
        <color indexed="64"/>
      </bottom>
      <diagonal/>
    </border>
    <border>
      <left style="medium">
        <color rgb="FF999999"/>
      </left>
      <right/>
      <top style="medium">
        <color rgb="FF999999"/>
      </top>
      <bottom style="medium">
        <color indexed="64"/>
      </bottom>
      <diagonal/>
    </border>
    <border>
      <left/>
      <right/>
      <top style="medium">
        <color rgb="FF999999"/>
      </top>
      <bottom style="medium">
        <color indexed="64"/>
      </bottom>
      <diagonal/>
    </border>
    <border>
      <left/>
      <right style="medium">
        <color indexed="64"/>
      </right>
      <top style="medium">
        <color rgb="FF999999"/>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0" borderId="10" xfId="0" applyBorder="1" applyAlignment="1">
      <alignment horizontal="centerContinuous"/>
    </xf>
    <xf numFmtId="0" fontId="0" fillId="0" borderId="11" xfId="0" applyBorder="1" applyAlignment="1">
      <alignment horizontal="centerContinuous"/>
    </xf>
    <xf numFmtId="0" fontId="0" fillId="0" borderId="12" xfId="0" applyBorder="1" applyAlignment="1">
      <alignment horizontal="centerContinuous"/>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17" xfId="0" applyBorder="1"/>
    <xf numFmtId="0" fontId="0" fillId="0" borderId="22" xfId="0" applyBorder="1"/>
    <xf numFmtId="0" fontId="0" fillId="0" borderId="27" xfId="0" applyBorder="1"/>
    <xf numFmtId="0" fontId="0" fillId="0" borderId="22" xfId="0" applyBorder="1" applyAlignment="1">
      <alignment horizontal="centerContinuous"/>
    </xf>
    <xf numFmtId="0" fontId="0" fillId="0" borderId="27" xfId="0" applyBorder="1" applyAlignment="1">
      <alignment horizontal="centerContinuous"/>
    </xf>
    <xf numFmtId="0" fontId="0" fillId="0" borderId="28" xfId="0" applyBorder="1" applyAlignment="1">
      <alignment horizontal="centerContinuous"/>
    </xf>
    <xf numFmtId="17" fontId="19" fillId="34" borderId="34" xfId="0" applyNumberFormat="1" applyFont="1" applyFill="1" applyBorder="1" applyAlignment="1">
      <alignment horizontal="center" vertical="center" wrapText="1"/>
    </xf>
    <xf numFmtId="0" fontId="19" fillId="34" borderId="35" xfId="0" applyFont="1" applyFill="1" applyBorder="1" applyAlignment="1">
      <alignment horizontal="center" vertical="center" wrapText="1"/>
    </xf>
    <xf numFmtId="0" fontId="19" fillId="34" borderId="36" xfId="0" applyFont="1" applyFill="1" applyBorder="1" applyAlignment="1">
      <alignment horizontal="centerContinuous" vertical="center" wrapText="1"/>
    </xf>
    <xf numFmtId="0" fontId="19" fillId="34" borderId="37" xfId="0" applyFont="1" applyFill="1" applyBorder="1" applyAlignment="1">
      <alignment horizontal="centerContinuous" vertical="center" wrapText="1"/>
    </xf>
    <xf numFmtId="0" fontId="19" fillId="34" borderId="38" xfId="0" applyFont="1" applyFill="1" applyBorder="1" applyAlignment="1">
      <alignment horizontal="centerContinuous" vertical="center" wrapText="1"/>
    </xf>
    <xf numFmtId="16" fontId="19" fillId="35" borderId="34" xfId="0" applyNumberFormat="1" applyFont="1" applyFill="1" applyBorder="1" applyAlignment="1">
      <alignment horizontal="center" vertical="center" wrapText="1"/>
    </xf>
    <xf numFmtId="0" fontId="19" fillId="35" borderId="39" xfId="0" applyFont="1" applyFill="1" applyBorder="1" applyAlignment="1">
      <alignment horizontal="center" vertical="center" wrapText="1"/>
    </xf>
    <xf numFmtId="0" fontId="19" fillId="35" borderId="36" xfId="0" applyFont="1" applyFill="1" applyBorder="1" applyAlignment="1">
      <alignment horizontal="centerContinuous" vertical="center" wrapText="1"/>
    </xf>
    <xf numFmtId="0" fontId="19" fillId="35" borderId="37" xfId="0" applyFont="1" applyFill="1" applyBorder="1" applyAlignment="1">
      <alignment horizontal="centerContinuous" vertical="center" wrapText="1"/>
    </xf>
    <xf numFmtId="0" fontId="19" fillId="35" borderId="38" xfId="0" applyFont="1" applyFill="1" applyBorder="1" applyAlignment="1">
      <alignment horizontal="centerContinuous" vertical="center" wrapText="1"/>
    </xf>
    <xf numFmtId="16" fontId="19" fillId="36" borderId="28" xfId="0" applyNumberFormat="1" applyFont="1" applyFill="1" applyBorder="1" applyAlignment="1">
      <alignment horizontal="center" vertical="center" wrapText="1"/>
    </xf>
    <xf numFmtId="0" fontId="19" fillId="36" borderId="40" xfId="0" applyFont="1" applyFill="1" applyBorder="1" applyAlignment="1">
      <alignment horizontal="center" vertical="center" wrapText="1"/>
    </xf>
    <xf numFmtId="0" fontId="19" fillId="36" borderId="41" xfId="0" applyFont="1" applyFill="1" applyBorder="1" applyAlignment="1">
      <alignment horizontal="centerContinuous" vertical="center" wrapText="1"/>
    </xf>
    <xf numFmtId="0" fontId="19" fillId="36" borderId="42" xfId="0" applyFont="1" applyFill="1" applyBorder="1" applyAlignment="1">
      <alignment horizontal="centerContinuous" vertical="center" wrapText="1"/>
    </xf>
    <xf numFmtId="0" fontId="19" fillId="36" borderId="43" xfId="0" applyFont="1" applyFill="1" applyBorder="1" applyAlignment="1">
      <alignment horizontal="centerContinuous"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14" fontId="0" fillId="0" borderId="45" xfId="0" applyNumberFormat="1" applyBorder="1" applyAlignment="1">
      <alignment horizontal="center" vertical="center" wrapText="1"/>
    </xf>
    <xf numFmtId="14" fontId="0" fillId="0" borderId="0" xfId="0" applyNumberFormat="1" applyAlignment="1">
      <alignment horizontal="center" vertical="center"/>
    </xf>
    <xf numFmtId="14" fontId="0" fillId="0" borderId="46" xfId="0" applyNumberFormat="1" applyBorder="1" applyAlignment="1">
      <alignment horizontal="center" vertical="center" wrapText="1"/>
    </xf>
    <xf numFmtId="0" fontId="0" fillId="0" borderId="47" xfId="0" applyBorder="1" applyAlignment="1">
      <alignment horizontal="center" vertical="center" wrapText="1"/>
    </xf>
    <xf numFmtId="0" fontId="0" fillId="0" borderId="44" xfId="0" applyBorder="1" applyAlignment="1">
      <alignment horizontal="left" vertical="center" wrapText="1"/>
    </xf>
    <xf numFmtId="0" fontId="0" fillId="0" borderId="10" xfId="0" applyBorder="1" applyAlignment="1">
      <alignment horizontal="center" vertical="center" textRotation="90"/>
    </xf>
    <xf numFmtId="0" fontId="0" fillId="0" borderId="17" xfId="0" applyBorder="1" applyAlignment="1">
      <alignment horizontal="center" vertical="center" textRotation="90"/>
    </xf>
    <xf numFmtId="0" fontId="0" fillId="0" borderId="22" xfId="0" applyBorder="1" applyAlignment="1">
      <alignment horizontal="center" vertical="center" textRotation="90"/>
    </xf>
    <xf numFmtId="0" fontId="18" fillId="33" borderId="29" xfId="0" applyFont="1" applyFill="1" applyBorder="1" applyAlignment="1">
      <alignment horizontal="center" vertical="center" wrapText="1"/>
    </xf>
    <xf numFmtId="0" fontId="18" fillId="33" borderId="30" xfId="0" applyFont="1" applyFill="1" applyBorder="1" applyAlignment="1">
      <alignment horizontal="center" vertical="center" wrapText="1"/>
    </xf>
    <xf numFmtId="0" fontId="18" fillId="33" borderId="31" xfId="0" applyFont="1" applyFill="1" applyBorder="1" applyAlignment="1">
      <alignment horizontal="center" vertical="center" wrapText="1"/>
    </xf>
    <xf numFmtId="0" fontId="18" fillId="33" borderId="32" xfId="0" applyFont="1" applyFill="1" applyBorder="1" applyAlignment="1">
      <alignment horizontal="center" vertical="center" wrapText="1"/>
    </xf>
    <xf numFmtId="0" fontId="18" fillId="33" borderId="33" xfId="0" applyFont="1" applyFill="1" applyBorder="1" applyAlignment="1">
      <alignment horizontal="center" vertical="center" wrapText="1"/>
    </xf>
    <xf numFmtId="1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D6A6-56A9-4C3A-B707-CE104168A604}">
  <dimension ref="A1:P39"/>
  <sheetViews>
    <sheetView tabSelected="1" topLeftCell="A12" workbookViewId="0">
      <selection activeCell="E2" sqref="E2"/>
    </sheetView>
  </sheetViews>
  <sheetFormatPr defaultRowHeight="15" x14ac:dyDescent="0.25"/>
  <cols>
    <col min="1" max="1" width="19.28515625" customWidth="1"/>
    <col min="2" max="2" width="44.28515625" customWidth="1"/>
    <col min="3" max="3" width="15.28515625" customWidth="1"/>
    <col min="4" max="4" width="25.7109375" bestFit="1" customWidth="1"/>
    <col min="5" max="5" width="37" customWidth="1"/>
    <col min="6" max="7" width="10" style="40" customWidth="1"/>
    <col min="8" max="8" width="10" customWidth="1"/>
    <col min="9" max="9" width="53.5703125" customWidth="1"/>
    <col min="10" max="10" width="10.5703125" customWidth="1"/>
    <col min="11" max="11" width="10.5703125" style="1" customWidth="1"/>
    <col min="12" max="14" width="10" customWidth="1"/>
    <col min="15" max="15" width="11.140625" style="1" customWidth="1"/>
    <col min="16" max="16" width="10.28515625" customWidth="1"/>
    <col min="17" max="17" width="24.7109375" bestFit="1" customWidth="1"/>
    <col min="18" max="18" width="11.42578125" bestFit="1" customWidth="1"/>
    <col min="19" max="19" width="16.7109375" bestFit="1" customWidth="1"/>
  </cols>
  <sheetData>
    <row r="1" spans="1:16" x14ac:dyDescent="0.25">
      <c r="A1" t="s">
        <v>0</v>
      </c>
      <c r="B1" s="1">
        <v>46080</v>
      </c>
    </row>
    <row r="2" spans="1:16" x14ac:dyDescent="0.25">
      <c r="A2" t="s">
        <v>1</v>
      </c>
      <c r="B2" t="s">
        <v>18</v>
      </c>
      <c r="D2" t="s">
        <v>102</v>
      </c>
      <c r="E2" t="s">
        <v>103</v>
      </c>
    </row>
    <row r="3" spans="1:16" x14ac:dyDescent="0.25">
      <c r="A3" t="s">
        <v>2</v>
      </c>
      <c r="B3" t="s">
        <v>100</v>
      </c>
    </row>
    <row r="4" spans="1:16" x14ac:dyDescent="0.25">
      <c r="A4" t="s">
        <v>19</v>
      </c>
      <c r="B4" t="s">
        <v>101</v>
      </c>
    </row>
    <row r="5" spans="1:16" ht="15.75" thickBot="1" x14ac:dyDescent="0.3"/>
    <row r="6" spans="1:16" s="2" customFormat="1" ht="60.75" thickBot="1" x14ac:dyDescent="0.3">
      <c r="A6" s="42" t="s">
        <v>3</v>
      </c>
      <c r="B6" s="43" t="s">
        <v>4</v>
      </c>
      <c r="C6" s="43" t="s">
        <v>5</v>
      </c>
      <c r="D6" s="43" t="s">
        <v>6</v>
      </c>
      <c r="E6" s="43" t="s">
        <v>7</v>
      </c>
      <c r="F6" s="43" t="s">
        <v>8</v>
      </c>
      <c r="G6" s="43" t="s">
        <v>9</v>
      </c>
      <c r="H6" s="43" t="s">
        <v>10</v>
      </c>
      <c r="I6" s="43" t="s">
        <v>11</v>
      </c>
      <c r="J6" s="43" t="s">
        <v>12</v>
      </c>
      <c r="K6" s="45" t="s">
        <v>13</v>
      </c>
      <c r="L6" s="43" t="s">
        <v>14</v>
      </c>
      <c r="M6" s="43" t="s">
        <v>15</v>
      </c>
      <c r="N6" s="43" t="s">
        <v>16</v>
      </c>
      <c r="O6" s="45" t="s">
        <v>17</v>
      </c>
      <c r="P6" s="44" t="s">
        <v>60</v>
      </c>
    </row>
    <row r="7" spans="1:16" s="41" customFormat="1" ht="105.75" thickBot="1" x14ac:dyDescent="0.3">
      <c r="A7" s="49" t="s">
        <v>61</v>
      </c>
      <c r="B7" s="43" t="s">
        <v>66</v>
      </c>
      <c r="C7" s="43" t="s">
        <v>71</v>
      </c>
      <c r="D7" s="43" t="s">
        <v>76</v>
      </c>
      <c r="E7" s="43" t="s">
        <v>78</v>
      </c>
      <c r="F7" s="43">
        <v>1</v>
      </c>
      <c r="G7" s="43">
        <v>3</v>
      </c>
      <c r="H7" s="43">
        <f>G7*F7</f>
        <v>3</v>
      </c>
      <c r="I7" s="43" t="s">
        <v>83</v>
      </c>
      <c r="J7" s="43" t="s">
        <v>98</v>
      </c>
      <c r="K7" s="45">
        <v>46142</v>
      </c>
      <c r="L7" s="43">
        <v>1</v>
      </c>
      <c r="M7" s="43">
        <v>2</v>
      </c>
      <c r="N7" s="43">
        <f>M7*L7</f>
        <v>2</v>
      </c>
      <c r="O7" s="47"/>
      <c r="P7" s="48"/>
    </row>
    <row r="8" spans="1:16" s="40" customFormat="1" ht="105.75" thickBot="1" x14ac:dyDescent="0.3">
      <c r="A8" s="49" t="s">
        <v>62</v>
      </c>
      <c r="B8" s="43" t="s">
        <v>67</v>
      </c>
      <c r="C8" s="43" t="s">
        <v>72</v>
      </c>
      <c r="D8" s="43" t="s">
        <v>77</v>
      </c>
      <c r="E8" s="43" t="s">
        <v>79</v>
      </c>
      <c r="F8" s="43">
        <v>2</v>
      </c>
      <c r="G8" s="43">
        <v>2</v>
      </c>
      <c r="H8" s="43">
        <f t="shared" ref="H8:H21" si="0">G8*F8</f>
        <v>4</v>
      </c>
      <c r="I8" s="43" t="s">
        <v>84</v>
      </c>
      <c r="J8" s="43" t="s">
        <v>98</v>
      </c>
      <c r="K8" s="45">
        <v>46142</v>
      </c>
      <c r="L8" s="43">
        <v>2</v>
      </c>
      <c r="M8" s="43">
        <v>1</v>
      </c>
      <c r="N8" s="43">
        <f t="shared" ref="N8:N21" si="1">M8*L8</f>
        <v>2</v>
      </c>
      <c r="O8" s="47"/>
      <c r="P8" s="48"/>
    </row>
    <row r="9" spans="1:16" s="40" customFormat="1" ht="105.75" thickBot="1" x14ac:dyDescent="0.3">
      <c r="A9" s="49" t="s">
        <v>62</v>
      </c>
      <c r="B9" s="43" t="s">
        <v>67</v>
      </c>
      <c r="C9" s="43" t="s">
        <v>72</v>
      </c>
      <c r="D9" s="43" t="s">
        <v>77</v>
      </c>
      <c r="E9" s="43" t="s">
        <v>79</v>
      </c>
      <c r="F9" s="43">
        <v>2</v>
      </c>
      <c r="G9" s="43">
        <v>2</v>
      </c>
      <c r="H9" s="43">
        <f t="shared" si="0"/>
        <v>4</v>
      </c>
      <c r="I9" s="43" t="s">
        <v>85</v>
      </c>
      <c r="J9" s="43" t="s">
        <v>98</v>
      </c>
      <c r="K9" s="45">
        <v>46142</v>
      </c>
      <c r="L9" s="43">
        <v>2</v>
      </c>
      <c r="M9" s="43">
        <v>1</v>
      </c>
      <c r="N9" s="43">
        <f t="shared" si="1"/>
        <v>2</v>
      </c>
      <c r="O9" s="47"/>
      <c r="P9" s="48"/>
    </row>
    <row r="10" spans="1:16" s="40" customFormat="1" ht="105.75" thickBot="1" x14ac:dyDescent="0.3">
      <c r="A10" s="49" t="s">
        <v>62</v>
      </c>
      <c r="B10" s="43" t="s">
        <v>67</v>
      </c>
      <c r="C10" s="43" t="s">
        <v>72</v>
      </c>
      <c r="D10" s="43" t="s">
        <v>77</v>
      </c>
      <c r="E10" s="43" t="s">
        <v>79</v>
      </c>
      <c r="F10" s="43">
        <v>2</v>
      </c>
      <c r="G10" s="43">
        <v>2</v>
      </c>
      <c r="H10" s="43">
        <f t="shared" si="0"/>
        <v>4</v>
      </c>
      <c r="I10" s="43" t="s">
        <v>86</v>
      </c>
      <c r="J10" s="43" t="s">
        <v>98</v>
      </c>
      <c r="K10" s="45">
        <v>46142</v>
      </c>
      <c r="L10" s="43">
        <v>2</v>
      </c>
      <c r="M10" s="43">
        <v>1</v>
      </c>
      <c r="N10" s="43">
        <f t="shared" si="1"/>
        <v>2</v>
      </c>
      <c r="O10" s="47"/>
      <c r="P10" s="48"/>
    </row>
    <row r="11" spans="1:16" s="40" customFormat="1" ht="150.75" thickBot="1" x14ac:dyDescent="0.3">
      <c r="A11" s="49" t="s">
        <v>63</v>
      </c>
      <c r="B11" s="43" t="s">
        <v>68</v>
      </c>
      <c r="C11" s="43" t="s">
        <v>73</v>
      </c>
      <c r="D11" s="43" t="s">
        <v>76</v>
      </c>
      <c r="E11" s="43" t="s">
        <v>80</v>
      </c>
      <c r="F11" s="43">
        <v>2</v>
      </c>
      <c r="G11" s="43">
        <v>3</v>
      </c>
      <c r="H11" s="43">
        <f t="shared" si="0"/>
        <v>6</v>
      </c>
      <c r="I11" s="43" t="s">
        <v>87</v>
      </c>
      <c r="J11" s="43" t="s">
        <v>99</v>
      </c>
      <c r="K11" s="45">
        <v>46142</v>
      </c>
      <c r="L11" s="43">
        <v>2</v>
      </c>
      <c r="M11" s="43">
        <v>2</v>
      </c>
      <c r="N11" s="43">
        <f t="shared" si="1"/>
        <v>4</v>
      </c>
      <c r="O11" s="47"/>
      <c r="P11" s="48"/>
    </row>
    <row r="12" spans="1:16" s="40" customFormat="1" ht="150.75" thickBot="1" x14ac:dyDescent="0.3">
      <c r="A12" s="49" t="s">
        <v>63</v>
      </c>
      <c r="B12" s="43" t="s">
        <v>68</v>
      </c>
      <c r="C12" s="43" t="s">
        <v>73</v>
      </c>
      <c r="D12" s="43" t="s">
        <v>76</v>
      </c>
      <c r="E12" s="43" t="s">
        <v>80</v>
      </c>
      <c r="F12" s="43">
        <v>2</v>
      </c>
      <c r="G12" s="43">
        <v>3</v>
      </c>
      <c r="H12" s="43">
        <f t="shared" si="0"/>
        <v>6</v>
      </c>
      <c r="I12" s="43" t="s">
        <v>88</v>
      </c>
      <c r="J12" s="43" t="s">
        <v>99</v>
      </c>
      <c r="K12" s="45">
        <v>46142</v>
      </c>
      <c r="L12" s="43">
        <v>2</v>
      </c>
      <c r="M12" s="43">
        <v>2</v>
      </c>
      <c r="N12" s="43">
        <f t="shared" si="1"/>
        <v>4</v>
      </c>
      <c r="O12" s="47"/>
      <c r="P12" s="48"/>
    </row>
    <row r="13" spans="1:16" s="40" customFormat="1" ht="150.75" thickBot="1" x14ac:dyDescent="0.3">
      <c r="A13" s="49" t="s">
        <v>63</v>
      </c>
      <c r="B13" s="43" t="s">
        <v>68</v>
      </c>
      <c r="C13" s="43" t="s">
        <v>73</v>
      </c>
      <c r="D13" s="43" t="s">
        <v>76</v>
      </c>
      <c r="E13" s="43" t="s">
        <v>80</v>
      </c>
      <c r="F13" s="43">
        <v>2</v>
      </c>
      <c r="G13" s="43">
        <v>3</v>
      </c>
      <c r="H13" s="43">
        <f t="shared" si="0"/>
        <v>6</v>
      </c>
      <c r="I13" s="43" t="s">
        <v>89</v>
      </c>
      <c r="J13" s="43" t="s">
        <v>99</v>
      </c>
      <c r="K13" s="45">
        <v>46142</v>
      </c>
      <c r="L13" s="43">
        <v>2</v>
      </c>
      <c r="M13" s="43">
        <v>2</v>
      </c>
      <c r="N13" s="43">
        <f t="shared" si="1"/>
        <v>4</v>
      </c>
      <c r="O13" s="47"/>
      <c r="P13" s="48"/>
    </row>
    <row r="14" spans="1:16" s="40" customFormat="1" ht="150.75" thickBot="1" x14ac:dyDescent="0.3">
      <c r="A14" s="49" t="s">
        <v>63</v>
      </c>
      <c r="B14" s="43" t="s">
        <v>68</v>
      </c>
      <c r="C14" s="43" t="s">
        <v>73</v>
      </c>
      <c r="D14" s="43" t="s">
        <v>76</v>
      </c>
      <c r="E14" s="43" t="s">
        <v>80</v>
      </c>
      <c r="F14" s="43">
        <v>2</v>
      </c>
      <c r="G14" s="43">
        <v>3</v>
      </c>
      <c r="H14" s="43">
        <f t="shared" si="0"/>
        <v>6</v>
      </c>
      <c r="I14" s="43" t="s">
        <v>90</v>
      </c>
      <c r="J14" s="43" t="s">
        <v>99</v>
      </c>
      <c r="K14" s="45">
        <v>46142</v>
      </c>
      <c r="L14" s="43">
        <v>2</v>
      </c>
      <c r="M14" s="43">
        <v>2</v>
      </c>
      <c r="N14" s="43">
        <f t="shared" si="1"/>
        <v>4</v>
      </c>
      <c r="O14" s="47"/>
      <c r="P14" s="48"/>
    </row>
    <row r="15" spans="1:16" s="40" customFormat="1" ht="150.75" thickBot="1" x14ac:dyDescent="0.3">
      <c r="A15" s="49" t="s">
        <v>63</v>
      </c>
      <c r="B15" s="43" t="s">
        <v>68</v>
      </c>
      <c r="C15" s="43" t="s">
        <v>73</v>
      </c>
      <c r="D15" s="43" t="s">
        <v>76</v>
      </c>
      <c r="E15" s="43" t="s">
        <v>80</v>
      </c>
      <c r="F15" s="43">
        <v>2</v>
      </c>
      <c r="G15" s="43">
        <v>3</v>
      </c>
      <c r="H15" s="43">
        <f t="shared" si="0"/>
        <v>6</v>
      </c>
      <c r="I15" s="43" t="s">
        <v>91</v>
      </c>
      <c r="J15" s="43" t="s">
        <v>99</v>
      </c>
      <c r="K15" s="45">
        <v>46142</v>
      </c>
      <c r="L15" s="43">
        <v>2</v>
      </c>
      <c r="M15" s="43">
        <v>2</v>
      </c>
      <c r="N15" s="43">
        <f t="shared" si="1"/>
        <v>4</v>
      </c>
      <c r="O15" s="47"/>
      <c r="P15" s="48"/>
    </row>
    <row r="16" spans="1:16" s="40" customFormat="1" ht="120.75" thickBot="1" x14ac:dyDescent="0.3">
      <c r="A16" s="49" t="s">
        <v>64</v>
      </c>
      <c r="B16" s="43" t="s">
        <v>69</v>
      </c>
      <c r="C16" s="43" t="s">
        <v>74</v>
      </c>
      <c r="D16" s="43" t="s">
        <v>76</v>
      </c>
      <c r="E16" s="43" t="s">
        <v>81</v>
      </c>
      <c r="F16" s="43">
        <v>1</v>
      </c>
      <c r="G16" s="43">
        <v>3</v>
      </c>
      <c r="H16" s="43">
        <f t="shared" si="0"/>
        <v>3</v>
      </c>
      <c r="I16" s="43" t="s">
        <v>92</v>
      </c>
      <c r="J16" s="43" t="s">
        <v>98</v>
      </c>
      <c r="K16" s="45">
        <v>46142</v>
      </c>
      <c r="L16" s="43">
        <v>1</v>
      </c>
      <c r="M16" s="43">
        <v>2</v>
      </c>
      <c r="N16" s="43">
        <f t="shared" si="1"/>
        <v>2</v>
      </c>
      <c r="O16" s="47"/>
      <c r="P16" s="48"/>
    </row>
    <row r="17" spans="1:16" s="40" customFormat="1" ht="120.75" thickBot="1" x14ac:dyDescent="0.3">
      <c r="A17" s="49" t="s">
        <v>64</v>
      </c>
      <c r="B17" s="43" t="s">
        <v>69</v>
      </c>
      <c r="C17" s="43" t="s">
        <v>74</v>
      </c>
      <c r="D17" s="43" t="s">
        <v>76</v>
      </c>
      <c r="E17" s="43" t="s">
        <v>81</v>
      </c>
      <c r="F17" s="43">
        <v>1</v>
      </c>
      <c r="G17" s="43">
        <v>3</v>
      </c>
      <c r="H17" s="43">
        <f t="shared" si="0"/>
        <v>3</v>
      </c>
      <c r="I17" s="43" t="s">
        <v>93</v>
      </c>
      <c r="J17" s="43" t="s">
        <v>98</v>
      </c>
      <c r="K17" s="45">
        <v>46142</v>
      </c>
      <c r="L17" s="43">
        <v>1</v>
      </c>
      <c r="M17" s="43">
        <v>2</v>
      </c>
      <c r="N17" s="43">
        <f t="shared" si="1"/>
        <v>2</v>
      </c>
      <c r="O17" s="47"/>
      <c r="P17" s="48"/>
    </row>
    <row r="18" spans="1:16" s="40" customFormat="1" ht="120.75" thickBot="1" x14ac:dyDescent="0.3">
      <c r="A18" s="49" t="s">
        <v>64</v>
      </c>
      <c r="B18" s="43" t="s">
        <v>69</v>
      </c>
      <c r="C18" s="43" t="s">
        <v>74</v>
      </c>
      <c r="D18" s="43" t="s">
        <v>76</v>
      </c>
      <c r="E18" s="43" t="s">
        <v>81</v>
      </c>
      <c r="F18" s="43">
        <v>1</v>
      </c>
      <c r="G18" s="43">
        <v>3</v>
      </c>
      <c r="H18" s="43">
        <f t="shared" si="0"/>
        <v>3</v>
      </c>
      <c r="I18" s="43" t="s">
        <v>94</v>
      </c>
      <c r="J18" s="43" t="s">
        <v>98</v>
      </c>
      <c r="K18" s="45">
        <v>46142</v>
      </c>
      <c r="L18" s="43">
        <v>1</v>
      </c>
      <c r="M18" s="43">
        <v>2</v>
      </c>
      <c r="N18" s="43">
        <f t="shared" si="1"/>
        <v>2</v>
      </c>
      <c r="O18" s="47"/>
      <c r="P18" s="48"/>
    </row>
    <row r="19" spans="1:16" s="40" customFormat="1" ht="120.75" thickBot="1" x14ac:dyDescent="0.3">
      <c r="A19" s="49" t="s">
        <v>65</v>
      </c>
      <c r="B19" s="43" t="s">
        <v>70</v>
      </c>
      <c r="C19" s="43" t="s">
        <v>75</v>
      </c>
      <c r="D19" s="43" t="s">
        <v>76</v>
      </c>
      <c r="E19" s="43" t="s">
        <v>82</v>
      </c>
      <c r="F19" s="43">
        <v>2</v>
      </c>
      <c r="G19" s="43">
        <v>2</v>
      </c>
      <c r="H19" s="43">
        <f t="shared" si="0"/>
        <v>4</v>
      </c>
      <c r="I19" s="43" t="s">
        <v>95</v>
      </c>
      <c r="J19" s="43" t="s">
        <v>59</v>
      </c>
      <c r="K19" s="45">
        <v>46142</v>
      </c>
      <c r="L19" s="43">
        <v>2</v>
      </c>
      <c r="M19" s="43">
        <v>1</v>
      </c>
      <c r="N19" s="43">
        <f t="shared" si="1"/>
        <v>2</v>
      </c>
      <c r="O19" s="47"/>
      <c r="P19" s="48"/>
    </row>
    <row r="20" spans="1:16" s="40" customFormat="1" ht="120.75" thickBot="1" x14ac:dyDescent="0.3">
      <c r="A20" s="49" t="s">
        <v>65</v>
      </c>
      <c r="B20" s="43" t="s">
        <v>70</v>
      </c>
      <c r="C20" s="43" t="s">
        <v>75</v>
      </c>
      <c r="D20" s="43" t="s">
        <v>76</v>
      </c>
      <c r="E20" s="43" t="s">
        <v>82</v>
      </c>
      <c r="F20" s="43">
        <v>2</v>
      </c>
      <c r="G20" s="43">
        <v>2</v>
      </c>
      <c r="H20" s="43">
        <f t="shared" si="0"/>
        <v>4</v>
      </c>
      <c r="I20" s="43" t="s">
        <v>96</v>
      </c>
      <c r="J20" s="43" t="s">
        <v>59</v>
      </c>
      <c r="K20" s="45">
        <v>46142</v>
      </c>
      <c r="L20" s="43">
        <v>2</v>
      </c>
      <c r="M20" s="43">
        <v>1</v>
      </c>
      <c r="N20" s="43">
        <f t="shared" si="1"/>
        <v>2</v>
      </c>
      <c r="O20" s="47"/>
      <c r="P20" s="48"/>
    </row>
    <row r="21" spans="1:16" s="40" customFormat="1" ht="120.75" thickBot="1" x14ac:dyDescent="0.3">
      <c r="A21" s="49" t="s">
        <v>65</v>
      </c>
      <c r="B21" s="43" t="s">
        <v>70</v>
      </c>
      <c r="C21" s="43" t="s">
        <v>75</v>
      </c>
      <c r="D21" s="43" t="s">
        <v>76</v>
      </c>
      <c r="E21" s="43" t="s">
        <v>82</v>
      </c>
      <c r="F21" s="43">
        <v>2</v>
      </c>
      <c r="G21" s="43">
        <v>2</v>
      </c>
      <c r="H21" s="43">
        <f t="shared" si="0"/>
        <v>4</v>
      </c>
      <c r="I21" s="43" t="s">
        <v>97</v>
      </c>
      <c r="J21" s="43" t="s">
        <v>59</v>
      </c>
      <c r="K21" s="45">
        <v>46142</v>
      </c>
      <c r="L21" s="43">
        <v>2</v>
      </c>
      <c r="M21" s="43">
        <v>1</v>
      </c>
      <c r="N21" s="43">
        <f t="shared" si="1"/>
        <v>2</v>
      </c>
      <c r="O21" s="47"/>
      <c r="P21" s="48"/>
    </row>
    <row r="22" spans="1:16" s="40" customFormat="1" x14ac:dyDescent="0.25">
      <c r="K22" s="46"/>
      <c r="O22" s="46"/>
    </row>
    <row r="23" spans="1:16" s="40" customFormat="1" x14ac:dyDescent="0.25">
      <c r="K23" s="46"/>
      <c r="O23" s="46"/>
    </row>
    <row r="24" spans="1:16" s="40" customFormat="1" x14ac:dyDescent="0.25">
      <c r="K24" s="46"/>
      <c r="O24" s="46"/>
    </row>
    <row r="25" spans="1:16" s="40" customFormat="1" x14ac:dyDescent="0.25">
      <c r="K25" s="46"/>
      <c r="O25" s="46"/>
    </row>
    <row r="26" spans="1:16" s="40" customFormat="1" x14ac:dyDescent="0.25">
      <c r="K26" s="46"/>
      <c r="O26" s="46"/>
    </row>
    <row r="27" spans="1:16" s="40" customFormat="1" x14ac:dyDescent="0.25">
      <c r="K27" s="46"/>
      <c r="O27" s="46"/>
    </row>
    <row r="28" spans="1:16" s="40" customFormat="1" x14ac:dyDescent="0.25">
      <c r="K28" s="46"/>
      <c r="O28" s="46"/>
    </row>
    <row r="29" spans="1:16" s="40" customFormat="1" x14ac:dyDescent="0.25">
      <c r="K29" s="46"/>
      <c r="O29" s="46"/>
    </row>
    <row r="30" spans="1:16" s="40" customFormat="1" x14ac:dyDescent="0.25">
      <c r="K30" s="46"/>
      <c r="O30" s="46"/>
    </row>
    <row r="31" spans="1:16" s="40" customFormat="1" x14ac:dyDescent="0.25">
      <c r="K31" s="46"/>
      <c r="O31" s="46"/>
    </row>
    <row r="32" spans="1:16" s="40" customFormat="1" x14ac:dyDescent="0.25">
      <c r="K32" s="46"/>
      <c r="O32" s="46"/>
    </row>
    <row r="33" spans="11:15" s="40" customFormat="1" x14ac:dyDescent="0.25">
      <c r="K33" s="46"/>
      <c r="O33" s="46"/>
    </row>
    <row r="34" spans="11:15" s="40" customFormat="1" x14ac:dyDescent="0.25">
      <c r="K34" s="46"/>
      <c r="O34" s="46"/>
    </row>
    <row r="35" spans="11:15" s="40" customFormat="1" x14ac:dyDescent="0.25">
      <c r="K35" s="46"/>
      <c r="O35" s="46"/>
    </row>
    <row r="36" spans="11:15" s="40" customFormat="1" x14ac:dyDescent="0.25">
      <c r="K36" s="46"/>
      <c r="O36" s="46"/>
    </row>
    <row r="37" spans="11:15" s="40" customFormat="1" x14ac:dyDescent="0.25">
      <c r="K37" s="46"/>
      <c r="O37" s="46"/>
    </row>
    <row r="38" spans="11:15" s="40" customFormat="1" x14ac:dyDescent="0.25">
      <c r="K38" s="46"/>
      <c r="O38" s="46"/>
    </row>
    <row r="39" spans="11:15" s="40" customFormat="1" x14ac:dyDescent="0.25">
      <c r="K39" s="46"/>
      <c r="O39" s="46"/>
    </row>
  </sheetData>
  <conditionalFormatting sqref="H7:H21">
    <cfRule type="expression" dxfId="8" priority="4">
      <formula>H7&gt;11</formula>
    </cfRule>
    <cfRule type="expression" dxfId="7" priority="5">
      <formula>H7&gt;5</formula>
    </cfRule>
    <cfRule type="expression" dxfId="6" priority="6">
      <formula>H7&lt;=5</formula>
    </cfRule>
  </conditionalFormatting>
  <conditionalFormatting sqref="N7:N21">
    <cfRule type="expression" dxfId="5" priority="1">
      <formula>N7&gt;11</formula>
    </cfRule>
    <cfRule type="expression" dxfId="4" priority="2">
      <formula>N7&gt;5</formula>
    </cfRule>
    <cfRule type="expression" dxfId="3" priority="3">
      <formula>N7&lt;=5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AB82-DA19-487A-A294-B27383594BFE}">
  <dimension ref="A3:L19"/>
  <sheetViews>
    <sheetView workbookViewId="0">
      <selection activeCell="I7" sqref="I7"/>
    </sheetView>
  </sheetViews>
  <sheetFormatPr defaultRowHeight="15" x14ac:dyDescent="0.25"/>
  <cols>
    <col min="2" max="2" width="25" bestFit="1" customWidth="1"/>
    <col min="3" max="3" width="85" bestFit="1" customWidth="1"/>
  </cols>
  <sheetData>
    <row r="3" spans="1:12" x14ac:dyDescent="0.25">
      <c r="A3" s="3" t="s">
        <v>20</v>
      </c>
      <c r="B3" t="s">
        <v>21</v>
      </c>
      <c r="C3" t="s">
        <v>22</v>
      </c>
    </row>
    <row r="4" spans="1:12" ht="15.75" thickBot="1" x14ac:dyDescent="0.3">
      <c r="A4" s="3">
        <v>1</v>
      </c>
      <c r="B4" t="s">
        <v>23</v>
      </c>
      <c r="C4" t="s">
        <v>24</v>
      </c>
    </row>
    <row r="5" spans="1:12" ht="15.75" thickBot="1" x14ac:dyDescent="0.3">
      <c r="A5" s="3">
        <v>2</v>
      </c>
      <c r="B5" t="s">
        <v>25</v>
      </c>
      <c r="C5" t="s">
        <v>26</v>
      </c>
      <c r="F5" s="4" t="s">
        <v>27</v>
      </c>
      <c r="G5" s="5"/>
      <c r="H5" s="5"/>
      <c r="I5" s="5"/>
      <c r="J5" s="5"/>
      <c r="K5" s="5"/>
      <c r="L5" s="6"/>
    </row>
    <row r="6" spans="1:12" x14ac:dyDescent="0.25">
      <c r="A6" s="3">
        <v>3</v>
      </c>
      <c r="B6" t="s">
        <v>28</v>
      </c>
      <c r="C6" t="s">
        <v>29</v>
      </c>
      <c r="F6" s="50" t="s">
        <v>30</v>
      </c>
      <c r="G6" s="7">
        <v>5</v>
      </c>
      <c r="H6" s="8">
        <f t="shared" ref="H6:L10" si="0">$G6*H$11</f>
        <v>5</v>
      </c>
      <c r="I6" s="9">
        <f t="shared" si="0"/>
        <v>10</v>
      </c>
      <c r="J6" s="9">
        <f t="shared" si="0"/>
        <v>15</v>
      </c>
      <c r="K6" s="9">
        <f t="shared" si="0"/>
        <v>20</v>
      </c>
      <c r="L6" s="10">
        <f t="shared" si="0"/>
        <v>25</v>
      </c>
    </row>
    <row r="7" spans="1:12" x14ac:dyDescent="0.25">
      <c r="A7" s="3">
        <v>4</v>
      </c>
      <c r="B7" t="s">
        <v>31</v>
      </c>
      <c r="C7" t="s">
        <v>32</v>
      </c>
      <c r="F7" s="51"/>
      <c r="G7" s="11">
        <v>4</v>
      </c>
      <c r="H7" s="12">
        <f t="shared" si="0"/>
        <v>4</v>
      </c>
      <c r="I7" s="13">
        <f t="shared" si="0"/>
        <v>8</v>
      </c>
      <c r="J7" s="13">
        <f t="shared" si="0"/>
        <v>12</v>
      </c>
      <c r="K7" s="13">
        <f t="shared" si="0"/>
        <v>16</v>
      </c>
      <c r="L7" s="14">
        <f t="shared" si="0"/>
        <v>20</v>
      </c>
    </row>
    <row r="8" spans="1:12" x14ac:dyDescent="0.25">
      <c r="A8" s="3">
        <v>5</v>
      </c>
      <c r="B8" t="s">
        <v>33</v>
      </c>
      <c r="C8" t="s">
        <v>34</v>
      </c>
      <c r="F8" s="51"/>
      <c r="G8" s="11">
        <v>3</v>
      </c>
      <c r="H8" s="12">
        <f t="shared" si="0"/>
        <v>3</v>
      </c>
      <c r="I8" s="13">
        <f t="shared" si="0"/>
        <v>6</v>
      </c>
      <c r="J8" s="13">
        <f t="shared" si="0"/>
        <v>9</v>
      </c>
      <c r="K8" s="13">
        <f t="shared" si="0"/>
        <v>12</v>
      </c>
      <c r="L8" s="14">
        <f t="shared" si="0"/>
        <v>15</v>
      </c>
    </row>
    <row r="9" spans="1:12" x14ac:dyDescent="0.25">
      <c r="A9" s="3"/>
      <c r="F9" s="51"/>
      <c r="G9" s="11">
        <v>2</v>
      </c>
      <c r="H9" s="12">
        <f t="shared" si="0"/>
        <v>2</v>
      </c>
      <c r="I9" s="13">
        <f t="shared" si="0"/>
        <v>4</v>
      </c>
      <c r="J9" s="13">
        <f t="shared" si="0"/>
        <v>6</v>
      </c>
      <c r="K9" s="13">
        <f t="shared" si="0"/>
        <v>8</v>
      </c>
      <c r="L9" s="14">
        <f t="shared" si="0"/>
        <v>10</v>
      </c>
    </row>
    <row r="10" spans="1:12" ht="15.75" thickBot="1" x14ac:dyDescent="0.3">
      <c r="A10" s="3" t="s">
        <v>20</v>
      </c>
      <c r="B10" t="s">
        <v>35</v>
      </c>
      <c r="C10" t="s">
        <v>36</v>
      </c>
      <c r="F10" s="52"/>
      <c r="G10" s="15">
        <v>1</v>
      </c>
      <c r="H10" s="16">
        <f>$G10*H$11</f>
        <v>1</v>
      </c>
      <c r="I10" s="17">
        <f t="shared" si="0"/>
        <v>2</v>
      </c>
      <c r="J10" s="17">
        <f t="shared" si="0"/>
        <v>3</v>
      </c>
      <c r="K10" s="17">
        <f t="shared" si="0"/>
        <v>4</v>
      </c>
      <c r="L10" s="18">
        <f t="shared" si="0"/>
        <v>5</v>
      </c>
    </row>
    <row r="11" spans="1:12" x14ac:dyDescent="0.25">
      <c r="A11" s="3">
        <v>1</v>
      </c>
      <c r="B11" t="s">
        <v>37</v>
      </c>
      <c r="C11" t="s">
        <v>38</v>
      </c>
      <c r="F11" s="19"/>
      <c r="H11" s="8">
        <v>1</v>
      </c>
      <c r="I11" s="9">
        <v>2</v>
      </c>
      <c r="J11" s="9">
        <v>3</v>
      </c>
      <c r="K11" s="9">
        <v>4</v>
      </c>
      <c r="L11" s="10">
        <v>5</v>
      </c>
    </row>
    <row r="12" spans="1:12" ht="15.75" thickBot="1" x14ac:dyDescent="0.3">
      <c r="A12" s="3">
        <v>2</v>
      </c>
      <c r="B12" t="s">
        <v>39</v>
      </c>
      <c r="C12" t="s">
        <v>40</v>
      </c>
      <c r="F12" s="20"/>
      <c r="G12" s="21"/>
      <c r="H12" s="22" t="s">
        <v>41</v>
      </c>
      <c r="I12" s="23"/>
      <c r="J12" s="23"/>
      <c r="K12" s="23"/>
      <c r="L12" s="24"/>
    </row>
    <row r="13" spans="1:12" x14ac:dyDescent="0.25">
      <c r="A13" s="3">
        <v>3</v>
      </c>
      <c r="B13" t="s">
        <v>42</v>
      </c>
      <c r="C13" t="s">
        <v>43</v>
      </c>
    </row>
    <row r="14" spans="1:12" x14ac:dyDescent="0.25">
      <c r="A14" s="3">
        <v>4</v>
      </c>
      <c r="B14" t="s">
        <v>44</v>
      </c>
      <c r="C14" t="s">
        <v>45</v>
      </c>
    </row>
    <row r="15" spans="1:12" ht="15.75" thickBot="1" x14ac:dyDescent="0.3">
      <c r="A15" s="3">
        <v>5</v>
      </c>
      <c r="B15" t="s">
        <v>46</v>
      </c>
      <c r="C15" t="s">
        <v>47</v>
      </c>
    </row>
    <row r="16" spans="1:12" ht="15.75" thickBot="1" x14ac:dyDescent="0.3">
      <c r="F16" s="53" t="s">
        <v>48</v>
      </c>
      <c r="G16" s="54"/>
      <c r="H16" s="55" t="s">
        <v>49</v>
      </c>
      <c r="I16" s="56"/>
      <c r="J16" s="56"/>
      <c r="K16" s="56"/>
      <c r="L16" s="57"/>
    </row>
    <row r="17" spans="6:12" ht="15.75" thickBot="1" x14ac:dyDescent="0.3">
      <c r="F17" s="25" t="s">
        <v>50</v>
      </c>
      <c r="G17" s="26" t="s">
        <v>51</v>
      </c>
      <c r="H17" s="27" t="s">
        <v>52</v>
      </c>
      <c r="I17" s="28"/>
      <c r="J17" s="28"/>
      <c r="K17" s="28"/>
      <c r="L17" s="29"/>
    </row>
    <row r="18" spans="6:12" ht="15.75" thickBot="1" x14ac:dyDescent="0.3">
      <c r="F18" s="30" t="s">
        <v>53</v>
      </c>
      <c r="G18" s="31" t="s">
        <v>54</v>
      </c>
      <c r="H18" s="32" t="s">
        <v>55</v>
      </c>
      <c r="I18" s="33"/>
      <c r="J18" s="33"/>
      <c r="K18" s="33"/>
      <c r="L18" s="34"/>
    </row>
    <row r="19" spans="6:12" ht="15.75" thickBot="1" x14ac:dyDescent="0.3">
      <c r="F19" s="35" t="s">
        <v>56</v>
      </c>
      <c r="G19" s="36" t="s">
        <v>57</v>
      </c>
      <c r="H19" s="37" t="s">
        <v>58</v>
      </c>
      <c r="I19" s="38"/>
      <c r="J19" s="38"/>
      <c r="K19" s="38"/>
      <c r="L19" s="39"/>
    </row>
  </sheetData>
  <mergeCells count="3">
    <mergeCell ref="F6:F10"/>
    <mergeCell ref="F16:G16"/>
    <mergeCell ref="H16:L16"/>
  </mergeCells>
  <conditionalFormatting sqref="H6:L10">
    <cfRule type="expression" dxfId="2" priority="1">
      <formula>H6&gt;11</formula>
    </cfRule>
    <cfRule type="expression" dxfId="1" priority="2">
      <formula>H6&gt;5</formula>
    </cfRule>
    <cfRule type="expression" dxfId="0" priority="3">
      <formula>H6&lt;=5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90CE-1B0E-4EA5-929B-55C2B3535A67}">
  <dimension ref="A1:C2"/>
  <sheetViews>
    <sheetView workbookViewId="0">
      <selection sqref="A1:C2"/>
    </sheetView>
  </sheetViews>
  <sheetFormatPr defaultRowHeight="15" x14ac:dyDescent="0.25"/>
  <cols>
    <col min="1" max="1" width="15.42578125" customWidth="1"/>
    <col min="2" max="2" width="16.28515625" customWidth="1"/>
    <col min="3" max="3" width="25.85546875" customWidth="1"/>
  </cols>
  <sheetData>
    <row r="1" spans="1:3" x14ac:dyDescent="0.25">
      <c r="A1" s="3" t="s">
        <v>104</v>
      </c>
      <c r="B1" s="3" t="s">
        <v>102</v>
      </c>
      <c r="C1" s="3" t="s">
        <v>105</v>
      </c>
    </row>
    <row r="2" spans="1:3" x14ac:dyDescent="0.25">
      <c r="A2" s="58">
        <v>46080</v>
      </c>
      <c r="B2" s="3" t="s">
        <v>103</v>
      </c>
      <c r="C2" s="3"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ECF0575D3D6D49B44FAA455BF26DF8" ma:contentTypeVersion="15" ma:contentTypeDescription="Create a new document." ma:contentTypeScope="" ma:versionID="c60dbf2abb0472109e8331f3b4e24db9">
  <xsd:schema xmlns:xsd="http://www.w3.org/2001/XMLSchema" xmlns:xs="http://www.w3.org/2001/XMLSchema" xmlns:p="http://schemas.microsoft.com/office/2006/metadata/properties" xmlns:ns2="c466da29-95f1-4d0d-beb8-0dee0f2fab6d" xmlns:ns3="b7a9d105-6a93-4cad-8489-7b1c0a46117a" targetNamespace="http://schemas.microsoft.com/office/2006/metadata/properties" ma:root="true" ma:fieldsID="301967f87174b8b836730263beedce94" ns2:_="" ns3:_="">
    <xsd:import namespace="c466da29-95f1-4d0d-beb8-0dee0f2fab6d"/>
    <xsd:import namespace="b7a9d105-6a93-4cad-8489-7b1c0a46117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66da29-95f1-4d0d-beb8-0dee0f2fab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7d801d0-6cd6-485b-97dd-7b434bd4bd1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a9d105-6a93-4cad-8489-7b1c0a46117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acc45f0-c3c9-4c78-b24d-a143d055cd90}" ma:internalName="TaxCatchAll" ma:showField="CatchAllData" ma:web="b7a9d105-6a93-4cad-8489-7b1c0a46117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a9d105-6a93-4cad-8489-7b1c0a46117a" xsi:nil="true"/>
    <lcf76f155ced4ddcb4097134ff3c332f xmlns="c466da29-95f1-4d0d-beb8-0dee0f2fab6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36BD07-44B6-47AF-A491-100D64BE4A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66da29-95f1-4d0d-beb8-0dee0f2fab6d"/>
    <ds:schemaRef ds:uri="b7a9d105-6a93-4cad-8489-7b1c0a4611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439E04-1D7C-4D67-9543-6A8BB4EEA51F}">
  <ds:schemaRefs>
    <ds:schemaRef ds:uri="http://schemas.microsoft.com/sharepoint/v3/contenttype/forms"/>
  </ds:schemaRefs>
</ds:datastoreItem>
</file>

<file path=customXml/itemProps3.xml><?xml version="1.0" encoding="utf-8"?>
<ds:datastoreItem xmlns:ds="http://schemas.openxmlformats.org/officeDocument/2006/customXml" ds:itemID="{9AC2FB8C-491D-4BFD-936A-00F1EE7351A5}">
  <ds:schemaRefs>
    <ds:schemaRef ds:uri="http://schemas.microsoft.com/office/2006/metadata/properties"/>
    <ds:schemaRef ds:uri="http://schemas.microsoft.com/office/infopath/2007/PartnerControls"/>
    <ds:schemaRef ds:uri="b7a9d105-6a93-4cad-8489-7b1c0a46117a"/>
    <ds:schemaRef ds:uri="c466da29-95f1-4d0d-beb8-0dee0f2fab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VA-RA</vt:lpstr>
      <vt:lpstr>Risk Ratings</vt:lpstr>
      <vt:lpstr>Version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Irwin</dc:creator>
  <cp:lastModifiedBy>Steve Irwin</cp:lastModifiedBy>
  <dcterms:created xsi:type="dcterms:W3CDTF">2026-02-18T11:03:11Z</dcterms:created>
  <dcterms:modified xsi:type="dcterms:W3CDTF">2026-03-18T14:14:24Z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0x01010096ECF0575D3D6D49B44FAA455BF26DF8</vt:lpwstr>
  </property>
  <property fmtid="{D5CDD505-2E9C-101B-9397-08002B2CF9AE}" pid="3" name="MediaServiceImageTags">
    <vt:lpwstr/>
  </property>
</Properties>
</file>