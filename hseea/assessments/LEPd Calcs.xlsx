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hseea\assessments\"/>
    </mc:Choice>
  </mc:AlternateContent>
  <xr:revisionPtr revIDLastSave="0" documentId="13_ncr:1_{B22B4BC0-5FC2-4AF9-952D-460BCB7DF5E9}" xr6:coauthVersionLast="47" xr6:coauthVersionMax="47" xr10:uidLastSave="{00000000-0000-0000-0000-000000000000}"/>
  <bookViews>
    <workbookView xWindow="-28920" yWindow="-180" windowWidth="29040" windowHeight="15720" xr2:uid="{649CC523-9D9A-49ED-B2B7-95B0A2CFA7ED}"/>
  </bookViews>
  <sheets>
    <sheet name="LEPd" sheetId="1" r:id="rId1"/>
    <sheet name="LEP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2" i="1"/>
  <c r="I2" i="2"/>
  <c r="I3" i="2"/>
  <c r="I4" i="2"/>
  <c r="I5" i="2"/>
  <c r="I1" i="2"/>
  <c r="AB8" i="1"/>
  <c r="AC8" i="1" s="1"/>
  <c r="X8" i="1"/>
  <c r="AB7" i="1"/>
  <c r="AC7" i="1" s="1"/>
  <c r="X7" i="1"/>
  <c r="AB6" i="1"/>
  <c r="AC6" i="1" s="1"/>
  <c r="X6" i="1"/>
  <c r="X5" i="1"/>
  <c r="AB5" i="1" s="1"/>
  <c r="AC5" i="1" s="1"/>
  <c r="X4" i="1"/>
  <c r="AB4" i="1" s="1"/>
  <c r="AC4" i="1" s="1"/>
  <c r="X3" i="1"/>
  <c r="AB3" i="1" s="1"/>
  <c r="AC3" i="1" s="1"/>
  <c r="X2" i="1"/>
  <c r="W1" i="1"/>
  <c r="X1" i="1" s="1"/>
  <c r="L1" i="1"/>
  <c r="M1" i="1" s="1"/>
  <c r="M8" i="1"/>
  <c r="M7" i="1"/>
  <c r="Q8" i="1"/>
  <c r="R8" i="1" s="1"/>
  <c r="Q7" i="1"/>
  <c r="R7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2" i="1"/>
  <c r="E9" i="1"/>
  <c r="I7" i="2" l="1"/>
  <c r="I8" i="2" s="1"/>
  <c r="AA9" i="1"/>
  <c r="AB2" i="1"/>
  <c r="M2" i="1"/>
  <c r="P2" i="1" s="1"/>
  <c r="M6" i="1"/>
  <c r="P6" i="1" s="1"/>
  <c r="Q6" i="1" s="1"/>
  <c r="R6" i="1" s="1"/>
  <c r="M5" i="1"/>
  <c r="P5" i="1" s="1"/>
  <c r="Q5" i="1" s="1"/>
  <c r="R5" i="1" s="1"/>
  <c r="M4" i="1"/>
  <c r="P4" i="1" s="1"/>
  <c r="Q4" i="1" s="1"/>
  <c r="R4" i="1" s="1"/>
  <c r="M3" i="1"/>
  <c r="P3" i="1" s="1"/>
  <c r="Q3" i="1" s="1"/>
  <c r="R3" i="1" s="1"/>
  <c r="G2" i="1"/>
  <c r="G9" i="1" s="1"/>
  <c r="G10" i="1" s="1"/>
  <c r="F9" i="1"/>
  <c r="AC2" i="1" l="1"/>
  <c r="AC9" i="1" s="1"/>
  <c r="AC10" i="1" s="1"/>
  <c r="AB9" i="1"/>
  <c r="Q2" i="1"/>
  <c r="P9" i="1"/>
  <c r="Q9" i="1" l="1"/>
  <c r="R2" i="1"/>
  <c r="R9" i="1" s="1"/>
  <c r="R10" i="1" s="1"/>
</calcChain>
</file>

<file path=xl/sharedStrings.xml><?xml version="1.0" encoding="utf-8"?>
<sst xmlns="http://schemas.openxmlformats.org/spreadsheetml/2006/main" count="48" uniqueCount="18">
  <si>
    <t>Location</t>
  </si>
  <si>
    <t>dB(A) Max</t>
  </si>
  <si>
    <t>Total Time</t>
  </si>
  <si>
    <t>Fraction of 8-hr shift</t>
  </si>
  <si>
    <t>Area 1</t>
  </si>
  <si>
    <t>175 min</t>
  </si>
  <si>
    <t>Area 2</t>
  </si>
  <si>
    <t>11 min</t>
  </si>
  <si>
    <t>Area 3</t>
  </si>
  <si>
    <t>Area 4</t>
  </si>
  <si>
    <t>22 min</t>
  </si>
  <si>
    <t>Area 8</t>
  </si>
  <si>
    <t>21 min</t>
  </si>
  <si>
    <t>Quiet work (machine off)</t>
  </si>
  <si>
    <t>180 min</t>
  </si>
  <si>
    <t>Breaks</t>
  </si>
  <si>
    <t>60 min</t>
  </si>
  <si>
    <t>LEPd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</si>
</sst>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3DA259CF-D6D5-EC5A-B4A8-985BB65235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4555F9F9-662A-2CAA-3522-54D5798E0EE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123824</xdr:colOff>
      <xdr:row>13</xdr:row>
      <xdr:rowOff>142874</xdr:rowOff>
    </xdr:from>
    <xdr:to>
      <xdr:col>5</xdr:col>
      <xdr:colOff>219074</xdr:colOff>
      <xdr:row>17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9D26C-BA95-4228-67D8-9E0079899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4" y="2619374"/>
          <a:ext cx="253365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019B-CE25-438A-9F09-646A929A449D}">
  <dimension ref="A1:AC10"/>
  <sheetViews>
    <sheetView tabSelected="1" workbookViewId="0">
      <selection activeCell="W1" sqref="W1"/>
    </sheetView>
  </sheetViews>
  <sheetFormatPr defaultRowHeight="15" x14ac:dyDescent="0.25"/>
  <cols>
    <col min="7" max="7" width="12" bestFit="1" customWidth="1"/>
    <col min="13" max="13" width="16.28515625" bestFit="1" customWidth="1"/>
    <col min="18" max="18" width="10" bestFit="1" customWidth="1"/>
    <col min="29" max="29" width="11.5703125" customWidth="1"/>
  </cols>
  <sheetData>
    <row r="1" spans="1:29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J1" s="1" t="s">
        <v>0</v>
      </c>
      <c r="K1" s="1" t="s">
        <v>1</v>
      </c>
      <c r="L1" s="1">
        <f>SUM(L2:L6)</f>
        <v>6.5</v>
      </c>
      <c r="M1" s="1">
        <f>240/L1</f>
        <v>36.92307692307692</v>
      </c>
      <c r="N1" s="1" t="s">
        <v>2</v>
      </c>
      <c r="O1" s="1" t="s">
        <v>3</v>
      </c>
      <c r="U1" s="1" t="s">
        <v>0</v>
      </c>
      <c r="V1" s="1" t="s">
        <v>1</v>
      </c>
      <c r="W1" s="1">
        <f>SUM(W2:W6)</f>
        <v>6.5</v>
      </c>
      <c r="X1" s="1">
        <f>240/W1</f>
        <v>36.92307692307692</v>
      </c>
      <c r="Y1" s="1" t="s">
        <v>2</v>
      </c>
      <c r="Z1" s="1" t="s">
        <v>3</v>
      </c>
    </row>
    <row r="2" spans="1:29" ht="35.25" thickBot="1" x14ac:dyDescent="0.3">
      <c r="A2" s="2" t="s">
        <v>4</v>
      </c>
      <c r="B2" s="2">
        <v>87.4</v>
      </c>
      <c r="C2" s="2" t="s">
        <v>5</v>
      </c>
      <c r="D2" s="2">
        <v>0.36499999999999999</v>
      </c>
      <c r="E2">
        <v>175</v>
      </c>
      <c r="F2">
        <f>E2/480</f>
        <v>0.36458333333333331</v>
      </c>
      <c r="G2" s="5">
        <f t="shared" ref="G2:G8" si="0">F2*10^(B2/10)</f>
        <v>200353443.59392595</v>
      </c>
      <c r="J2" s="2" t="s">
        <v>4</v>
      </c>
      <c r="K2" s="2">
        <v>87.4</v>
      </c>
      <c r="L2" s="2">
        <v>4</v>
      </c>
      <c r="M2" s="2">
        <f>L2*$M$1</f>
        <v>147.69230769230768</v>
      </c>
      <c r="N2" s="2" t="str">
        <f>TEXT(P2,"0")&amp;" min"</f>
        <v>148 min</v>
      </c>
      <c r="O2" s="2">
        <v>0.36499999999999999</v>
      </c>
      <c r="P2">
        <f>M2</f>
        <v>147.69230769230768</v>
      </c>
      <c r="Q2">
        <f>P2/480</f>
        <v>0.30769230769230765</v>
      </c>
      <c r="R2" s="5">
        <f t="shared" ref="R2:R8" si="1">Q2*10^(K2/10)</f>
        <v>169089499.64850011</v>
      </c>
      <c r="U2" s="2" t="s">
        <v>4</v>
      </c>
      <c r="V2" s="2">
        <v>87.4</v>
      </c>
      <c r="W2" s="2">
        <v>4</v>
      </c>
      <c r="X2" s="2">
        <f>W2*$M$1</f>
        <v>147.69230769230768</v>
      </c>
      <c r="Y2" s="2" t="s">
        <v>5</v>
      </c>
      <c r="Z2" s="2">
        <v>0.36499999999999999</v>
      </c>
      <c r="AB2">
        <f>AA2/480</f>
        <v>0</v>
      </c>
      <c r="AC2" s="5">
        <f t="shared" ref="AC2:AC8" si="2">AB2*10^(V2/10)</f>
        <v>0</v>
      </c>
    </row>
    <row r="3" spans="1:29" ht="35.25" thickBot="1" x14ac:dyDescent="0.3">
      <c r="A3" s="3" t="s">
        <v>6</v>
      </c>
      <c r="B3" s="3">
        <v>88.1</v>
      </c>
      <c r="C3" s="3" t="s">
        <v>7</v>
      </c>
      <c r="D3" s="3">
        <v>2.3E-2</v>
      </c>
      <c r="E3">
        <v>11</v>
      </c>
      <c r="F3">
        <f t="shared" ref="F3:F8" si="3">E3/480</f>
        <v>2.2916666666666665E-2</v>
      </c>
      <c r="G3" s="5">
        <f t="shared" si="0"/>
        <v>14796242.748710817</v>
      </c>
      <c r="J3" s="3" t="s">
        <v>6</v>
      </c>
      <c r="K3" s="3">
        <v>88.1</v>
      </c>
      <c r="L3" s="3">
        <v>0.125</v>
      </c>
      <c r="M3" s="2">
        <f t="shared" ref="M3:M6" si="4">L3*$M$1</f>
        <v>4.615384615384615</v>
      </c>
      <c r="N3" s="2" t="str">
        <f t="shared" ref="N3:N8" si="5">TEXT(P3,"0")&amp;" min"</f>
        <v>5 min</v>
      </c>
      <c r="O3" s="3">
        <v>2.3E-2</v>
      </c>
      <c r="P3">
        <f t="shared" ref="P3:P6" si="6">M3</f>
        <v>4.615384615384615</v>
      </c>
      <c r="Q3">
        <f t="shared" ref="Q3:Q8" si="7">P3/480</f>
        <v>9.6153846153846142E-3</v>
      </c>
      <c r="R3" s="5">
        <f t="shared" si="1"/>
        <v>6208213.7407178255</v>
      </c>
      <c r="U3" s="3" t="s">
        <v>6</v>
      </c>
      <c r="V3" s="3">
        <v>88.1</v>
      </c>
      <c r="W3" s="3">
        <v>0.125</v>
      </c>
      <c r="X3" s="2">
        <f t="shared" ref="X3:X6" si="8">W3*$M$1</f>
        <v>4.615384615384615</v>
      </c>
      <c r="Y3" s="3" t="s">
        <v>7</v>
      </c>
      <c r="Z3" s="3">
        <v>2.3E-2</v>
      </c>
      <c r="AB3">
        <f t="shared" ref="AB3:AB8" si="9">AA3/480</f>
        <v>0</v>
      </c>
      <c r="AC3" s="5">
        <f t="shared" si="2"/>
        <v>0</v>
      </c>
    </row>
    <row r="4" spans="1:29" ht="35.25" thickBot="1" x14ac:dyDescent="0.3">
      <c r="A4" s="2" t="s">
        <v>8</v>
      </c>
      <c r="B4" s="2">
        <v>91.9</v>
      </c>
      <c r="C4" s="2" t="s">
        <v>7</v>
      </c>
      <c r="D4" s="2">
        <v>2.3E-2</v>
      </c>
      <c r="E4">
        <v>11</v>
      </c>
      <c r="F4">
        <f t="shared" si="3"/>
        <v>2.2916666666666665E-2</v>
      </c>
      <c r="G4" s="5">
        <f t="shared" si="0"/>
        <v>35493714.183411188</v>
      </c>
      <c r="J4" s="2" t="s">
        <v>8</v>
      </c>
      <c r="K4" s="2">
        <v>91.9</v>
      </c>
      <c r="L4" s="2">
        <v>0.125</v>
      </c>
      <c r="M4" s="2">
        <f t="shared" si="4"/>
        <v>4.615384615384615</v>
      </c>
      <c r="N4" s="2" t="str">
        <f t="shared" si="5"/>
        <v>5 min</v>
      </c>
      <c r="O4" s="2">
        <v>2.3E-2</v>
      </c>
      <c r="P4">
        <f t="shared" si="6"/>
        <v>4.615384615384615</v>
      </c>
      <c r="Q4">
        <f t="shared" si="7"/>
        <v>9.6153846153846142E-3</v>
      </c>
      <c r="R4" s="5">
        <f t="shared" si="1"/>
        <v>14892467.489543157</v>
      </c>
      <c r="U4" s="2" t="s">
        <v>8</v>
      </c>
      <c r="V4" s="2">
        <v>91.9</v>
      </c>
      <c r="W4" s="2">
        <v>0.125</v>
      </c>
      <c r="X4" s="2">
        <f t="shared" si="8"/>
        <v>4.615384615384615</v>
      </c>
      <c r="Y4" s="2" t="s">
        <v>7</v>
      </c>
      <c r="Z4" s="2">
        <v>2.3E-2</v>
      </c>
      <c r="AB4">
        <f t="shared" si="9"/>
        <v>0</v>
      </c>
      <c r="AC4" s="5">
        <f t="shared" si="2"/>
        <v>0</v>
      </c>
    </row>
    <row r="5" spans="1:29" ht="35.25" thickBot="1" x14ac:dyDescent="0.3">
      <c r="A5" s="3" t="s">
        <v>9</v>
      </c>
      <c r="B5" s="3">
        <v>82</v>
      </c>
      <c r="C5" s="3" t="s">
        <v>10</v>
      </c>
      <c r="D5" s="3">
        <v>4.5999999999999999E-2</v>
      </c>
      <c r="E5">
        <v>22</v>
      </c>
      <c r="F5">
        <f t="shared" si="3"/>
        <v>4.583333333333333E-2</v>
      </c>
      <c r="G5" s="5">
        <f t="shared" si="0"/>
        <v>7264093.7987801023</v>
      </c>
      <c r="J5" s="3" t="s">
        <v>9</v>
      </c>
      <c r="K5" s="3">
        <v>82</v>
      </c>
      <c r="L5" s="3">
        <v>1.5</v>
      </c>
      <c r="M5" s="2">
        <f t="shared" si="4"/>
        <v>55.38461538461538</v>
      </c>
      <c r="N5" s="2" t="str">
        <f t="shared" si="5"/>
        <v>55 min</v>
      </c>
      <c r="O5" s="3">
        <v>4.5999999999999999E-2</v>
      </c>
      <c r="P5">
        <f t="shared" si="6"/>
        <v>55.38461538461538</v>
      </c>
      <c r="Q5">
        <f t="shared" si="7"/>
        <v>0.11538461538461538</v>
      </c>
      <c r="R5" s="5">
        <f t="shared" si="1"/>
        <v>18287229.143782075</v>
      </c>
      <c r="U5" s="3" t="s">
        <v>9</v>
      </c>
      <c r="V5" s="3">
        <v>82</v>
      </c>
      <c r="W5" s="3">
        <v>1.5</v>
      </c>
      <c r="X5" s="2">
        <f t="shared" si="8"/>
        <v>55.38461538461538</v>
      </c>
      <c r="Y5" s="3" t="s">
        <v>10</v>
      </c>
      <c r="Z5" s="3">
        <v>4.5999999999999999E-2</v>
      </c>
      <c r="AB5">
        <f t="shared" si="9"/>
        <v>0</v>
      </c>
      <c r="AC5" s="5">
        <f t="shared" si="2"/>
        <v>0</v>
      </c>
    </row>
    <row r="6" spans="1:29" ht="35.25" thickBot="1" x14ac:dyDescent="0.3">
      <c r="A6" s="2" t="s">
        <v>11</v>
      </c>
      <c r="B6" s="2">
        <v>68.8</v>
      </c>
      <c r="C6" s="2" t="s">
        <v>12</v>
      </c>
      <c r="D6" s="2">
        <v>4.3999999999999997E-2</v>
      </c>
      <c r="E6">
        <v>21</v>
      </c>
      <c r="F6">
        <f t="shared" si="3"/>
        <v>4.3749999999999997E-2</v>
      </c>
      <c r="G6" s="5">
        <f t="shared" si="0"/>
        <v>331877.68907526846</v>
      </c>
      <c r="J6" s="2" t="s">
        <v>11</v>
      </c>
      <c r="K6" s="2">
        <v>68.8</v>
      </c>
      <c r="L6" s="2">
        <v>0.75</v>
      </c>
      <c r="M6" s="2">
        <f t="shared" si="4"/>
        <v>27.69230769230769</v>
      </c>
      <c r="N6" s="2" t="str">
        <f t="shared" si="5"/>
        <v>28 min</v>
      </c>
      <c r="O6" s="2">
        <v>4.3999999999999997E-2</v>
      </c>
      <c r="P6">
        <f t="shared" si="6"/>
        <v>27.69230769230769</v>
      </c>
      <c r="Q6">
        <f t="shared" si="7"/>
        <v>5.7692307692307689E-2</v>
      </c>
      <c r="R6" s="5">
        <f t="shared" si="1"/>
        <v>437640.90867068368</v>
      </c>
      <c r="U6" s="2" t="s">
        <v>11</v>
      </c>
      <c r="V6" s="2">
        <v>68.8</v>
      </c>
      <c r="W6" s="2">
        <v>0.75</v>
      </c>
      <c r="X6" s="2">
        <f t="shared" si="8"/>
        <v>27.69230769230769</v>
      </c>
      <c r="Y6" s="2" t="s">
        <v>12</v>
      </c>
      <c r="Z6" s="2">
        <v>4.3999999999999997E-2</v>
      </c>
      <c r="AB6">
        <f t="shared" si="9"/>
        <v>0</v>
      </c>
      <c r="AC6" s="5">
        <f t="shared" si="2"/>
        <v>0</v>
      </c>
    </row>
    <row r="7" spans="1:29" ht="87" thickBot="1" x14ac:dyDescent="0.3">
      <c r="A7" s="3" t="s">
        <v>13</v>
      </c>
      <c r="B7" s="3">
        <v>60</v>
      </c>
      <c r="C7" s="3" t="s">
        <v>14</v>
      </c>
      <c r="D7" s="3">
        <v>0.375</v>
      </c>
      <c r="E7">
        <v>180</v>
      </c>
      <c r="F7">
        <f t="shared" si="3"/>
        <v>0.375</v>
      </c>
      <c r="G7" s="5">
        <f t="shared" si="0"/>
        <v>375000</v>
      </c>
      <c r="J7" s="3" t="s">
        <v>13</v>
      </c>
      <c r="K7" s="3">
        <v>60</v>
      </c>
      <c r="L7" s="3">
        <v>180</v>
      </c>
      <c r="M7" s="3">
        <f>L7</f>
        <v>180</v>
      </c>
      <c r="N7" s="2" t="str">
        <f t="shared" si="5"/>
        <v>180 min</v>
      </c>
      <c r="O7" s="3">
        <v>0.375</v>
      </c>
      <c r="P7">
        <v>180</v>
      </c>
      <c r="Q7">
        <f t="shared" si="7"/>
        <v>0.375</v>
      </c>
      <c r="R7" s="5">
        <f t="shared" si="1"/>
        <v>375000</v>
      </c>
      <c r="U7" s="3" t="s">
        <v>13</v>
      </c>
      <c r="V7" s="3">
        <v>60</v>
      </c>
      <c r="W7" s="3">
        <v>180</v>
      </c>
      <c r="X7" s="3">
        <f>W7</f>
        <v>180</v>
      </c>
      <c r="Y7" s="3" t="s">
        <v>14</v>
      </c>
      <c r="Z7" s="3">
        <v>0.375</v>
      </c>
      <c r="AB7">
        <f t="shared" si="9"/>
        <v>0</v>
      </c>
      <c r="AC7" s="5">
        <f t="shared" si="2"/>
        <v>0</v>
      </c>
    </row>
    <row r="8" spans="1:29" ht="35.25" thickBot="1" x14ac:dyDescent="0.3">
      <c r="A8" s="2" t="s">
        <v>15</v>
      </c>
      <c r="B8" s="2">
        <v>65</v>
      </c>
      <c r="C8" s="2" t="s">
        <v>16</v>
      </c>
      <c r="D8" s="2">
        <v>0.125</v>
      </c>
      <c r="E8">
        <v>60</v>
      </c>
      <c r="F8">
        <f t="shared" si="3"/>
        <v>0.125</v>
      </c>
      <c r="G8" s="5">
        <f t="shared" si="0"/>
        <v>395284.70752104814</v>
      </c>
      <c r="J8" s="2" t="s">
        <v>15</v>
      </c>
      <c r="K8" s="2">
        <v>65</v>
      </c>
      <c r="L8" s="2">
        <v>60</v>
      </c>
      <c r="M8" s="2">
        <f>L8</f>
        <v>60</v>
      </c>
      <c r="N8" s="2" t="str">
        <f t="shared" si="5"/>
        <v>60 min</v>
      </c>
      <c r="O8" s="2">
        <v>0.125</v>
      </c>
      <c r="P8">
        <v>60</v>
      </c>
      <c r="Q8">
        <f t="shared" si="7"/>
        <v>0.125</v>
      </c>
      <c r="R8" s="5">
        <f t="shared" si="1"/>
        <v>395284.70752104814</v>
      </c>
      <c r="U8" s="2" t="s">
        <v>15</v>
      </c>
      <c r="V8" s="2">
        <v>65</v>
      </c>
      <c r="W8" s="2">
        <v>60</v>
      </c>
      <c r="X8" s="2">
        <f>W8</f>
        <v>60</v>
      </c>
      <c r="Y8" s="2" t="s">
        <v>16</v>
      </c>
      <c r="Z8" s="2">
        <v>0.125</v>
      </c>
      <c r="AA8">
        <v>480</v>
      </c>
      <c r="AB8">
        <f t="shared" si="9"/>
        <v>1</v>
      </c>
      <c r="AC8" s="5">
        <f t="shared" si="2"/>
        <v>3162277.6601683851</v>
      </c>
    </row>
    <row r="9" spans="1:29" x14ac:dyDescent="0.25">
      <c r="E9">
        <f>SUM(E2:E8)</f>
        <v>480</v>
      </c>
      <c r="F9">
        <f>SUM(F2:F8)</f>
        <v>1</v>
      </c>
      <c r="G9" s="5">
        <f>SUM(G2:G8)</f>
        <v>259009656.72142437</v>
      </c>
      <c r="P9">
        <f>SUM(P2:P8)</f>
        <v>480</v>
      </c>
      <c r="Q9">
        <f>SUM(Q2:Q8)</f>
        <v>1</v>
      </c>
      <c r="R9" s="5">
        <f>SUM(R2:R8)</f>
        <v>209685335.63873494</v>
      </c>
      <c r="AA9">
        <f>SUM(AA2:AA8)</f>
        <v>480</v>
      </c>
      <c r="AB9">
        <f>SUM(AB2:AB8)</f>
        <v>1</v>
      </c>
      <c r="AC9" s="5">
        <f>SUM(AC2:AC8)</f>
        <v>3162277.6601683851</v>
      </c>
    </row>
    <row r="10" spans="1:29" x14ac:dyDescent="0.25">
      <c r="G10" s="4">
        <f>10*LOG10(G9)</f>
        <v>84.13315956292243</v>
      </c>
      <c r="R10" s="4">
        <f>10*LOG10(R9)</f>
        <v>83.215680591068832</v>
      </c>
      <c r="AC10" s="4">
        <f>10*LOG10(AC9)</f>
        <v>65.000000000000014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7BD9-E4F6-4039-A606-1DE927C0CBAF}">
  <dimension ref="G1:I8"/>
  <sheetViews>
    <sheetView workbookViewId="0">
      <selection activeCell="H4" sqref="H4"/>
    </sheetView>
  </sheetViews>
  <sheetFormatPr defaultRowHeight="15" x14ac:dyDescent="0.25"/>
  <cols>
    <col min="9" max="9" width="12" bestFit="1" customWidth="1"/>
  </cols>
  <sheetData>
    <row r="1" spans="7:9" x14ac:dyDescent="0.25">
      <c r="H1" s="4">
        <v>83.215680591068832</v>
      </c>
      <c r="I1">
        <f>10^(0.1*H1)</f>
        <v>209685335.63873532</v>
      </c>
    </row>
    <row r="2" spans="7:9" x14ac:dyDescent="0.25">
      <c r="H2" s="4">
        <v>83.215680591068832</v>
      </c>
      <c r="I2">
        <f t="shared" ref="I2:I5" si="0">10^(0.1*H2)</f>
        <v>209685335.63873532</v>
      </c>
    </row>
    <row r="3" spans="7:9" x14ac:dyDescent="0.25">
      <c r="H3" s="4">
        <v>83.215680591068832</v>
      </c>
      <c r="I3">
        <f t="shared" si="0"/>
        <v>209685335.63873532</v>
      </c>
    </row>
    <row r="4" spans="7:9" x14ac:dyDescent="0.25">
      <c r="G4" t="s">
        <v>17</v>
      </c>
      <c r="H4" s="4">
        <v>30</v>
      </c>
      <c r="I4">
        <f t="shared" si="0"/>
        <v>1000</v>
      </c>
    </row>
    <row r="5" spans="7:9" x14ac:dyDescent="0.25">
      <c r="H5">
        <v>40</v>
      </c>
      <c r="I5">
        <f t="shared" si="0"/>
        <v>10000</v>
      </c>
    </row>
    <row r="7" spans="7:9" x14ac:dyDescent="0.25">
      <c r="I7">
        <f>SUM(I1:I5)/5</f>
        <v>125813401.38324121</v>
      </c>
    </row>
    <row r="8" spans="7:9" x14ac:dyDescent="0.25">
      <c r="I8">
        <f>10*LOG10(I7)</f>
        <v>80.997269037229671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LEPd</vt:lpstr>
      <vt:lpstr>LEPw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2026-02-04T09:27:16Z</dcterms:created>
  <dcterms:modified xsi:type="dcterms:W3CDTF">2026-02-05T14:28:27Z</dcterms:modified>
</cp:coreProperties>
</file>