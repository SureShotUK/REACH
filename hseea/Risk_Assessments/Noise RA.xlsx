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teveIrwin\terminai\hseea\Risk_Assessments\"/>
    </mc:Choice>
  </mc:AlternateContent>
  <xr:revisionPtr revIDLastSave="0" documentId="13_ncr:9_{72BA6FE3-43D4-4B62-8295-D9A2D892CB0D}" xr6:coauthVersionLast="47" xr6:coauthVersionMax="47" xr10:uidLastSave="{00000000-0000-0000-0000-000000000000}"/>
  <bookViews>
    <workbookView xWindow="-120" yWindow="-120" windowWidth="29040" windowHeight="15720" xr2:uid="{1593C367-8DF1-4177-8D83-1B76F4472023}"/>
  </bookViews>
  <sheets>
    <sheet name="RA_Template" sheetId="1" r:id="rId1"/>
    <sheet name="Risk Ratings" sheetId="2" r:id="rId2"/>
  </sheets>
  <calcPr calcId="0"/>
</workbook>
</file>

<file path=xl/calcChain.xml><?xml version="1.0" encoding="utf-8"?>
<calcChain xmlns="http://schemas.openxmlformats.org/spreadsheetml/2006/main">
  <c r="H19" i="1" l="1"/>
  <c r="H18" i="1"/>
  <c r="N17" i="1"/>
  <c r="N16" i="1"/>
  <c r="H16" i="1"/>
  <c r="N15" i="1"/>
  <c r="N14" i="1"/>
  <c r="H14" i="1"/>
  <c r="N13" i="1"/>
  <c r="N12" i="1"/>
  <c r="H12" i="1"/>
  <c r="N11" i="1"/>
  <c r="N10" i="1"/>
  <c r="H10" i="1"/>
  <c r="N8" i="1"/>
  <c r="H8" i="1"/>
  <c r="H7" i="1"/>
  <c r="L10" i="2"/>
  <c r="K10" i="2"/>
  <c r="J10" i="2"/>
  <c r="I10" i="2"/>
  <c r="H10" i="2"/>
  <c r="L9" i="2"/>
  <c r="K9" i="2"/>
  <c r="J9" i="2"/>
  <c r="I9" i="2"/>
  <c r="H9" i="2"/>
  <c r="L8" i="2"/>
  <c r="K8" i="2"/>
  <c r="J8" i="2"/>
  <c r="I8" i="2"/>
  <c r="H8" i="2"/>
  <c r="L7" i="2"/>
  <c r="K7" i="2"/>
  <c r="J7" i="2"/>
  <c r="I7" i="2"/>
  <c r="H7" i="2"/>
  <c r="L6" i="2"/>
  <c r="K6" i="2"/>
  <c r="J6" i="2"/>
  <c r="I6" i="2"/>
  <c r="H6" i="2"/>
</calcChain>
</file>

<file path=xl/sharedStrings.xml><?xml version="1.0" encoding="utf-8"?>
<sst xmlns="http://schemas.openxmlformats.org/spreadsheetml/2006/main" count="120" uniqueCount="96">
  <si>
    <t>Assessment Date</t>
  </si>
  <si>
    <t>Assessor Name</t>
  </si>
  <si>
    <t>Position</t>
  </si>
  <si>
    <t>Activity/Task Description</t>
  </si>
  <si>
    <t>Hazard Description</t>
  </si>
  <si>
    <t>Who is at Risk?</t>
  </si>
  <si>
    <t>How might they be harmed?</t>
  </si>
  <si>
    <t>Existing Control Measures</t>
  </si>
  <si>
    <t>Initial Likelihood (1-5)</t>
  </si>
  <si>
    <t>Initial Severity (1-5)</t>
  </si>
  <si>
    <t>Initial Risk Rating (L x S)</t>
  </si>
  <si>
    <t>Further Control Measures (Hierarchy of Control)</t>
  </si>
  <si>
    <t>Action Owner</t>
  </si>
  <si>
    <t>Target Date</t>
  </si>
  <si>
    <t>Residual Likelihood (1-5)</t>
  </si>
  <si>
    <t>Residual Severity (1-5)</t>
  </si>
  <si>
    <t>Residual Risk Rating (L x S)</t>
  </si>
  <si>
    <t>Review Date</t>
  </si>
  <si>
    <t>Steve Irwin</t>
  </si>
  <si>
    <t>Operations Director</t>
  </si>
  <si>
    <t>Procedure Assessed</t>
  </si>
  <si>
    <t>Noise from Blending</t>
  </si>
  <si>
    <t>Mixer</t>
  </si>
  <si>
    <t>Mixing produces a loud mechanical noise as the impeller mixes Urea granules with water at high speed</t>
  </si>
  <si>
    <t>Warehouse staff next to the mixer, visitors</t>
  </si>
  <si>
    <t>Rating</t>
  </si>
  <si>
    <t>Severity Label</t>
  </si>
  <si>
    <t>Severity Definition</t>
  </si>
  <si>
    <t>Insignificant / Negligible</t>
  </si>
  <si>
    <t>Minor injury (e.g. small cut or bruise); no time off required; negligible damage.</t>
  </si>
  <si>
    <t>Minor / Minor Injury</t>
  </si>
  <si>
    <t>First aid required; limited and easily manageable impact; minor damage.</t>
  </si>
  <si>
    <t>RISK / PRIORITY INDICATOR MATRIX</t>
  </si>
  <si>
    <t>Moderate / Moderate Injury</t>
  </si>
  <si>
    <t>Noticeable injury or illness requiring medical treatment; lost time; significant damage.</t>
  </si>
  <si>
    <t>Likliehood</t>
  </si>
  <si>
    <t>Major / Major Injury</t>
  </si>
  <si>
    <t>Significant injury or long-term disability; major damage; serious breach of safety standards.</t>
  </si>
  <si>
    <t>Catastrophic / Death</t>
  </si>
  <si>
    <t>Fatal or catastrophic harm; multi-person impact; total loss of facility or process.</t>
  </si>
  <si>
    <t>Likelihood Label</t>
  </si>
  <si>
    <t>Likelihood Definition</t>
  </si>
  <si>
    <t>Rare / Very Unlikely</t>
  </si>
  <si>
    <t>Minimal chance of occurrence; highly unlikely.</t>
  </si>
  <si>
    <t>Unlikely</t>
  </si>
  <si>
    <t>Low probability but not negligible; may happen sporadically or under specific circumstances.</t>
  </si>
  <si>
    <t>Severity</t>
  </si>
  <si>
    <t>Possible / Moderate</t>
  </si>
  <si>
    <t>Moderate chance of occurrence; neither uncommon nor frequent.</t>
  </si>
  <si>
    <t>Likely</t>
  </si>
  <si>
    <t>Significant probability; a good chance it will happen.</t>
  </si>
  <si>
    <t>Almost Certain</t>
  </si>
  <si>
    <t>Highly likely to happen; practically a certainty.</t>
  </si>
  <si>
    <t>Summary</t>
  </si>
  <si>
    <t>Suggested Timeframe</t>
  </si>
  <si>
    <t>&gt;=12</t>
  </si>
  <si>
    <t>High</t>
  </si>
  <si>
    <t>As soon as possible</t>
  </si>
  <si>
    <t>&gt;=6</t>
  </si>
  <si>
    <t>Medium</t>
  </si>
  <si>
    <t>Within next 3-6 months</t>
  </si>
  <si>
    <t>&lt;=5</t>
  </si>
  <si>
    <t>Low</t>
  </si>
  <si>
    <t>Whenever viable to do so</t>
  </si>
  <si>
    <t>PPE - ear defenders</t>
  </si>
  <si>
    <t>Loud noise could impact hearing immediately</t>
  </si>
  <si>
    <t>Loud noise could impact hearing long term</t>
  </si>
  <si>
    <t>Adminitrative Control: Only authorised staff may be in the direct vicinity of the mixer and only when needed. They must move away as soon as no longer required to be in the area.</t>
  </si>
  <si>
    <t>Alex Wood</t>
  </si>
  <si>
    <t>Filling the Hopper</t>
  </si>
  <si>
    <t xml:space="preserve">Noise from the mixer is still loud at the hopper </t>
  </si>
  <si>
    <t>Warehouse staff next to the hopper, visitors</t>
  </si>
  <si>
    <t>Mechanical controls, investigate a removable screen to absorb some of the noise</t>
  </si>
  <si>
    <t>Status/
Comments</t>
  </si>
  <si>
    <t>Administative: Staff should move away from the hopper when not needed to carry out an activity.</t>
  </si>
  <si>
    <t>Administative: Only authorised trained staff should be near the hopper during blending.</t>
  </si>
  <si>
    <t>Baling</t>
  </si>
  <si>
    <t>Warehouse staff next to the baler, visitors</t>
  </si>
  <si>
    <t xml:space="preserve">Noise from the mixer is still elevated at the baler </t>
  </si>
  <si>
    <t>Administative: Only authorised trained staff should be near the baler during blending.</t>
  </si>
  <si>
    <t>Administative: Staff should move away from the baler when not needed to carry out an activity.</t>
  </si>
  <si>
    <t>Workbench area</t>
  </si>
  <si>
    <t>Noise from the mixer is still elevated at the workbench</t>
  </si>
  <si>
    <t>Warehouse staff next to the workbench, visitors</t>
  </si>
  <si>
    <t>Administative: Only authorised trained staff should be near the workbench during blending.</t>
  </si>
  <si>
    <t>IBC Filling</t>
  </si>
  <si>
    <t>Warehouse staff next to the IBC filling, visitors</t>
  </si>
  <si>
    <t>Administative: Only authorised trained staff should be near IBC filling area during blending.</t>
  </si>
  <si>
    <t>Administative: Staff should try to find an alternative location to carry out work or move away from the workbench when not needed to carry out an activity.</t>
  </si>
  <si>
    <t>Administative: Staff should move away from the IBC filling area when not needed to carry out an activity.</t>
  </si>
  <si>
    <t>Noise from the mixer is still elevated at the IBC filling area</t>
  </si>
  <si>
    <t>Pack Filling</t>
  </si>
  <si>
    <t>Noise from the mixer</t>
  </si>
  <si>
    <t>All other areas in Warehouses 1-3</t>
  </si>
  <si>
    <t>Warehouse staff next to the Pack filling, visitors</t>
  </si>
  <si>
    <t>Warehouse staff and visitors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</si>
</sst>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rgb="FFFFFFFF"/>
      <name val="Arial"/>
      <family val="2"/>
    </font>
    <font>
      <sz val="9"/>
      <color rgb="FF00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054D"/>
        <bgColor indexed="64"/>
      </patternFill>
    </fill>
    <fill>
      <patternFill patternType="solid">
        <fgColor rgb="FFFF0000"/>
        <bgColor indexed="64"/>
      </patternFill>
    </fill>
    <fill>
      <patternFill patternType="solid">
        <fgColor rgb="FFFF9900"/>
        <bgColor indexed="64"/>
      </patternFill>
    </fill>
    <fill>
      <patternFill patternType="solid">
        <fgColor rgb="FF00FF00"/>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rgb="FF999999"/>
      </bottom>
      <diagonal/>
    </border>
    <border>
      <left/>
      <right style="medium">
        <color rgb="FF999999"/>
      </right>
      <top style="medium">
        <color indexed="64"/>
      </top>
      <bottom style="medium">
        <color rgb="FF999999"/>
      </bottom>
      <diagonal/>
    </border>
    <border>
      <left style="medium">
        <color rgb="FF999999"/>
      </left>
      <right/>
      <top style="medium">
        <color indexed="64"/>
      </top>
      <bottom style="medium">
        <color rgb="FF999999"/>
      </bottom>
      <diagonal/>
    </border>
    <border>
      <left/>
      <right/>
      <top style="medium">
        <color indexed="64"/>
      </top>
      <bottom style="medium">
        <color rgb="FF999999"/>
      </bottom>
      <diagonal/>
    </border>
    <border>
      <left/>
      <right style="medium">
        <color indexed="64"/>
      </right>
      <top style="medium">
        <color indexed="64"/>
      </top>
      <bottom style="medium">
        <color rgb="FF999999"/>
      </bottom>
      <diagonal/>
    </border>
    <border>
      <left/>
      <right style="medium">
        <color indexed="64"/>
      </right>
      <top/>
      <bottom style="medium">
        <color rgb="FF999999"/>
      </bottom>
      <diagonal/>
    </border>
    <border>
      <left/>
      <right style="medium">
        <color rgb="FF999999"/>
      </right>
      <top style="medium">
        <color rgb="FF999999"/>
      </top>
      <bottom style="medium">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indexed="64"/>
      </right>
      <top style="medium">
        <color rgb="FF999999"/>
      </top>
      <bottom style="medium">
        <color rgb="FF999999"/>
      </bottom>
      <diagonal/>
    </border>
    <border>
      <left/>
      <right style="medium">
        <color rgb="FF999999"/>
      </right>
      <top/>
      <bottom style="medium">
        <color rgb="FF999999"/>
      </bottom>
      <diagonal/>
    </border>
    <border>
      <left/>
      <right style="medium">
        <color rgb="FF999999"/>
      </right>
      <top/>
      <bottom style="medium">
        <color indexed="64"/>
      </bottom>
      <diagonal/>
    </border>
    <border>
      <left style="medium">
        <color rgb="FF999999"/>
      </left>
      <right/>
      <top style="medium">
        <color rgb="FF999999"/>
      </top>
      <bottom style="medium">
        <color indexed="64"/>
      </bottom>
      <diagonal/>
    </border>
    <border>
      <left/>
      <right/>
      <top style="medium">
        <color rgb="FF999999"/>
      </top>
      <bottom style="medium">
        <color indexed="64"/>
      </bottom>
      <diagonal/>
    </border>
    <border>
      <left/>
      <right style="medium">
        <color indexed="64"/>
      </right>
      <top style="medium">
        <color rgb="FF999999"/>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5">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0" borderId="10" xfId="0" applyBorder="1" applyAlignment="1">
      <alignment horizontal="centerContinuous"/>
    </xf>
    <xf numFmtId="0" fontId="0" fillId="0" borderId="11" xfId="0" applyBorder="1" applyAlignment="1">
      <alignment horizontal="centerContinuous"/>
    </xf>
    <xf numFmtId="0" fontId="0" fillId="0" borderId="12" xfId="0" applyBorder="1" applyAlignment="1">
      <alignment horizontal="centerContinuous"/>
    </xf>
    <xf numFmtId="0" fontId="0" fillId="0" borderId="10" xfId="0" applyBorder="1" applyAlignment="1">
      <alignment horizontal="center" vertical="center" textRotation="90"/>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vertical="center" textRotation="90"/>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vertical="center" textRotation="90"/>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7" xfId="0" applyBorder="1"/>
    <xf numFmtId="0" fontId="0" fillId="0" borderId="22" xfId="0" applyBorder="1"/>
    <xf numFmtId="0" fontId="0" fillId="0" borderId="27" xfId="0" applyBorder="1"/>
    <xf numFmtId="0" fontId="0" fillId="0" borderId="22" xfId="0" applyBorder="1" applyAlignment="1">
      <alignment horizontal="centerContinuous"/>
    </xf>
    <xf numFmtId="0" fontId="0" fillId="0" borderId="27" xfId="0" applyBorder="1" applyAlignment="1">
      <alignment horizontal="centerContinuous"/>
    </xf>
    <xf numFmtId="0" fontId="0" fillId="0" borderId="28" xfId="0" applyBorder="1" applyAlignment="1">
      <alignment horizontal="centerContinuous"/>
    </xf>
    <xf numFmtId="0" fontId="18" fillId="33" borderId="29" xfId="0" applyFont="1" applyFill="1" applyBorder="1" applyAlignment="1">
      <alignment horizontal="center" vertical="center" wrapText="1"/>
    </xf>
    <xf numFmtId="0" fontId="18" fillId="33" borderId="30" xfId="0" applyFont="1" applyFill="1" applyBorder="1" applyAlignment="1">
      <alignment horizontal="center" vertical="center" wrapText="1"/>
    </xf>
    <xf numFmtId="0" fontId="18" fillId="33" borderId="31" xfId="0" applyFont="1" applyFill="1" applyBorder="1" applyAlignment="1">
      <alignment horizontal="center" vertical="center" wrapText="1"/>
    </xf>
    <xf numFmtId="0" fontId="18" fillId="33" borderId="32" xfId="0" applyFont="1" applyFill="1" applyBorder="1" applyAlignment="1">
      <alignment horizontal="center" vertical="center" wrapText="1"/>
    </xf>
    <xf numFmtId="0" fontId="18" fillId="33" borderId="33" xfId="0" applyFont="1" applyFill="1" applyBorder="1" applyAlignment="1">
      <alignment horizontal="center" vertical="center" wrapText="1"/>
    </xf>
    <xf numFmtId="17" fontId="19" fillId="34" borderId="34" xfId="0" applyNumberFormat="1" applyFont="1" applyFill="1" applyBorder="1" applyAlignment="1">
      <alignment horizontal="center" vertical="center" wrapText="1"/>
    </xf>
    <xf numFmtId="0" fontId="19" fillId="34" borderId="35" xfId="0" applyFont="1" applyFill="1" applyBorder="1" applyAlignment="1">
      <alignment horizontal="center" vertical="center" wrapText="1"/>
    </xf>
    <xf numFmtId="0" fontId="19" fillId="34" borderId="36" xfId="0" applyFont="1" applyFill="1" applyBorder="1" applyAlignment="1">
      <alignment horizontal="centerContinuous" vertical="center" wrapText="1"/>
    </xf>
    <xf numFmtId="0" fontId="19" fillId="34" borderId="37" xfId="0" applyFont="1" applyFill="1" applyBorder="1" applyAlignment="1">
      <alignment horizontal="centerContinuous" vertical="center" wrapText="1"/>
    </xf>
    <xf numFmtId="0" fontId="19" fillId="34" borderId="38" xfId="0" applyFont="1" applyFill="1" applyBorder="1" applyAlignment="1">
      <alignment horizontal="centerContinuous" vertical="center" wrapText="1"/>
    </xf>
    <xf numFmtId="16" fontId="19" fillId="35" borderId="34" xfId="0" applyNumberFormat="1" applyFont="1" applyFill="1" applyBorder="1" applyAlignment="1">
      <alignment horizontal="center" vertical="center" wrapText="1"/>
    </xf>
    <xf numFmtId="0" fontId="19" fillId="35" borderId="39" xfId="0" applyFont="1" applyFill="1" applyBorder="1" applyAlignment="1">
      <alignment horizontal="center" vertical="center" wrapText="1"/>
    </xf>
    <xf numFmtId="0" fontId="19" fillId="35" borderId="36" xfId="0" applyFont="1" applyFill="1" applyBorder="1" applyAlignment="1">
      <alignment horizontal="centerContinuous" vertical="center" wrapText="1"/>
    </xf>
    <xf numFmtId="0" fontId="19" fillId="35" borderId="37" xfId="0" applyFont="1" applyFill="1" applyBorder="1" applyAlignment="1">
      <alignment horizontal="centerContinuous" vertical="center" wrapText="1"/>
    </xf>
    <xf numFmtId="0" fontId="19" fillId="35" borderId="38" xfId="0" applyFont="1" applyFill="1" applyBorder="1" applyAlignment="1">
      <alignment horizontal="centerContinuous" vertical="center" wrapText="1"/>
    </xf>
    <xf numFmtId="16" fontId="19" fillId="36" borderId="28" xfId="0" applyNumberFormat="1" applyFont="1" applyFill="1" applyBorder="1" applyAlignment="1">
      <alignment horizontal="center" vertical="center" wrapText="1"/>
    </xf>
    <xf numFmtId="0" fontId="19" fillId="36" borderId="40" xfId="0" applyFont="1" applyFill="1" applyBorder="1" applyAlignment="1">
      <alignment horizontal="center" vertical="center" wrapText="1"/>
    </xf>
    <xf numFmtId="0" fontId="19" fillId="36" borderId="41" xfId="0" applyFont="1" applyFill="1" applyBorder="1" applyAlignment="1">
      <alignment horizontal="centerContinuous" vertical="center" wrapText="1"/>
    </xf>
    <xf numFmtId="0" fontId="19" fillId="36" borderId="42" xfId="0" applyFont="1" applyFill="1" applyBorder="1" applyAlignment="1">
      <alignment horizontal="centerContinuous" vertical="center" wrapText="1"/>
    </xf>
    <xf numFmtId="0" fontId="19" fillId="36" borderId="43" xfId="0" applyFont="1" applyFill="1" applyBorder="1" applyAlignment="1">
      <alignment horizontal="centerContinuous"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20" xfId="0" applyBorder="1" applyAlignment="1">
      <alignment horizontal="center" vertical="center" wrapText="1"/>
    </xf>
    <xf numFmtId="14" fontId="0" fillId="0" borderId="20" xfId="0" applyNumberFormat="1"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25" xfId="0" applyBorder="1" applyAlignment="1">
      <alignment horizontal="center" vertical="center" wrapText="1"/>
    </xf>
    <xf numFmtId="0" fontId="0" fillId="0" borderId="25" xfId="0" applyBorder="1" applyAlignment="1">
      <alignment horizontal="center" vertical="center"/>
    </xf>
    <xf numFmtId="0" fontId="0" fillId="0" borderId="48" xfId="0" applyBorder="1" applyAlignment="1">
      <alignment horizontal="center" vertical="center" wrapText="1"/>
    </xf>
    <xf numFmtId="0" fontId="0" fillId="0" borderId="47"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0" borderId="50" xfId="0" applyBorder="1" applyAlignment="1">
      <alignment horizontal="center" vertical="center"/>
    </xf>
    <xf numFmtId="0" fontId="0" fillId="0" borderId="49" xfId="0" applyBorder="1" applyAlignment="1">
      <alignment horizontal="center" vertical="center"/>
    </xf>
    <xf numFmtId="14" fontId="0" fillId="0" borderId="50" xfId="0" applyNumberFormat="1" applyBorder="1" applyAlignment="1">
      <alignment horizontal="center" vertical="center" wrapText="1"/>
    </xf>
    <xf numFmtId="0" fontId="0" fillId="0" borderId="51" xfId="0" applyBorder="1" applyAlignment="1">
      <alignment horizontal="center" vertical="center" wrapText="1"/>
    </xf>
    <xf numFmtId="14" fontId="0" fillId="0" borderId="45"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0" xfId="0" applyNumberFormat="1" applyAlignment="1">
      <alignment horizontal="center" vertical="center"/>
    </xf>
    <xf numFmtId="0" fontId="0" fillId="0" borderId="47" xfId="0" applyBorder="1" applyAlignment="1">
      <alignment horizontal="center" vertical="center"/>
    </xf>
    <xf numFmtId="0" fontId="0" fillId="0" borderId="50" xfId="0" applyBorder="1" applyAlignment="1">
      <alignment horizontal="center" vertical="center" wrapText="1"/>
    </xf>
    <xf numFmtId="14" fontId="0" fillId="0" borderId="50" xfId="0" applyNumberFormat="1" applyBorder="1" applyAlignment="1">
      <alignment horizontal="center" vertical="center" wrapText="1"/>
    </xf>
    <xf numFmtId="14" fontId="0" fillId="0" borderId="47" xfId="0" applyNumberFormat="1" applyBorder="1" applyAlignment="1">
      <alignment horizontal="center" vertical="center" wrapText="1"/>
    </xf>
    <xf numFmtId="0" fontId="0" fillId="0" borderId="18" xfId="0" applyBorder="1" applyAlignment="1">
      <alignment horizontal="center" vertical="center" wrapText="1"/>
    </xf>
    <xf numFmtId="14" fontId="0" fillId="0" borderId="25" xfId="0" applyNumberFormat="1" applyBorder="1" applyAlignment="1">
      <alignment horizontal="center" vertical="center"/>
    </xf>
    <xf numFmtId="0" fontId="0" fillId="0" borderId="26" xfId="0" applyBorder="1" applyAlignment="1">
      <alignment horizontal="center" vertical="center"/>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48" xfId="0" applyBorder="1" applyAlignment="1">
      <alignment horizontal="center" vertical="center"/>
    </xf>
    <xf numFmtId="0" fontId="0" fillId="0" borderId="54" xfId="0" applyBorder="1" applyAlignment="1">
      <alignment horizontal="center" vertical="center" wrapText="1"/>
    </xf>
    <xf numFmtId="0" fontId="0" fillId="0" borderId="50" xfId="0" applyBorder="1" applyAlignment="1">
      <alignment horizontal="center" vertical="center"/>
    </xf>
    <xf numFmtId="14" fontId="0" fillId="0" borderId="50" xfId="0" applyNumberFormat="1" applyBorder="1" applyAlignment="1">
      <alignment horizontal="center" vertical="center"/>
    </xf>
    <xf numFmtId="14" fontId="0" fillId="0" borderId="46" xfId="0" applyNumberForma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
      <fill>
        <patternFill>
          <bgColor rgb="FF00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D6A6-56A9-4C3A-B707-CE104168A604}">
  <dimension ref="A1:P51"/>
  <sheetViews>
    <sheetView tabSelected="1" topLeftCell="A10" workbookViewId="0">
      <selection activeCell="F18" sqref="F18"/>
    </sheetView>
  </sheetViews>
  <sheetFormatPr defaultRowHeight="15" x14ac:dyDescent="0.25"/>
  <cols>
    <col min="1" max="1" width="19.28515625" customWidth="1"/>
    <col min="2" max="2" width="22" customWidth="1"/>
    <col min="3" max="3" width="15.28515625" customWidth="1"/>
    <col min="4" max="4" width="25.7109375" bestFit="1" customWidth="1"/>
    <col min="5" max="5" width="17.85546875" customWidth="1"/>
    <col min="6" max="6" width="14.5703125" style="48" customWidth="1"/>
    <col min="7" max="7" width="13.28515625" style="48" customWidth="1"/>
    <col min="8" max="8" width="12" bestFit="1" customWidth="1"/>
    <col min="9" max="9" width="43.5703125" bestFit="1" customWidth="1"/>
    <col min="10" max="10" width="13" customWidth="1"/>
    <col min="11" max="11" width="12.28515625" style="1" customWidth="1"/>
    <col min="12" max="12" width="14.5703125" customWidth="1"/>
    <col min="13" max="13" width="12.5703125" customWidth="1"/>
    <col min="14" max="14" width="13" customWidth="1"/>
    <col min="15" max="15" width="11.140625" style="1" customWidth="1"/>
    <col min="16" max="16" width="10.28515625" customWidth="1"/>
    <col min="17" max="17" width="24.7109375" bestFit="1" customWidth="1"/>
    <col min="18" max="18" width="11.42578125" bestFit="1" customWidth="1"/>
    <col min="19" max="19" width="16.7109375" bestFit="1" customWidth="1"/>
  </cols>
  <sheetData>
    <row r="1" spans="1:16" x14ac:dyDescent="0.25">
      <c r="A1" t="s">
        <v>0</v>
      </c>
      <c r="B1" s="1">
        <v>46071</v>
      </c>
    </row>
    <row r="2" spans="1:16" x14ac:dyDescent="0.25">
      <c r="A2" t="s">
        <v>1</v>
      </c>
      <c r="B2" t="s">
        <v>18</v>
      </c>
    </row>
    <row r="3" spans="1:16" x14ac:dyDescent="0.25">
      <c r="A3" t="s">
        <v>2</v>
      </c>
      <c r="B3" t="s">
        <v>19</v>
      </c>
    </row>
    <row r="4" spans="1:16" x14ac:dyDescent="0.25">
      <c r="A4" t="s">
        <v>20</v>
      </c>
      <c r="B4" t="s">
        <v>21</v>
      </c>
    </row>
    <row r="5" spans="1:16" ht="15.75" thickBot="1" x14ac:dyDescent="0.3"/>
    <row r="6" spans="1:16" s="2" customFormat="1" ht="45.75" thickBot="1" x14ac:dyDescent="0.3">
      <c r="A6" s="52" t="s">
        <v>3</v>
      </c>
      <c r="B6" s="53" t="s">
        <v>4</v>
      </c>
      <c r="C6" s="53" t="s">
        <v>5</v>
      </c>
      <c r="D6" s="53" t="s">
        <v>6</v>
      </c>
      <c r="E6" s="53" t="s">
        <v>7</v>
      </c>
      <c r="F6" s="53" t="s">
        <v>8</v>
      </c>
      <c r="G6" s="53" t="s">
        <v>9</v>
      </c>
      <c r="H6" s="53" t="s">
        <v>10</v>
      </c>
      <c r="I6" s="53" t="s">
        <v>11</v>
      </c>
      <c r="J6" s="53" t="s">
        <v>12</v>
      </c>
      <c r="K6" s="68" t="s">
        <v>13</v>
      </c>
      <c r="L6" s="53" t="s">
        <v>14</v>
      </c>
      <c r="M6" s="53" t="s">
        <v>15</v>
      </c>
      <c r="N6" s="53" t="s">
        <v>16</v>
      </c>
      <c r="O6" s="68" t="s">
        <v>17</v>
      </c>
      <c r="P6" s="54" t="s">
        <v>73</v>
      </c>
    </row>
    <row r="7" spans="1:16" s="49" customFormat="1" ht="75" customHeight="1" x14ac:dyDescent="0.25">
      <c r="A7" s="78" t="s">
        <v>22</v>
      </c>
      <c r="B7" s="60" t="s">
        <v>23</v>
      </c>
      <c r="C7" s="60" t="s">
        <v>24</v>
      </c>
      <c r="D7" s="55" t="s">
        <v>65</v>
      </c>
      <c r="E7" s="55" t="s">
        <v>64</v>
      </c>
      <c r="F7" s="55">
        <v>1</v>
      </c>
      <c r="G7" s="55">
        <v>4</v>
      </c>
      <c r="H7" s="56">
        <f>G7*F7</f>
        <v>4</v>
      </c>
      <c r="I7" s="55"/>
      <c r="J7" s="55"/>
      <c r="K7" s="69"/>
      <c r="L7" s="55"/>
      <c r="M7" s="55"/>
      <c r="N7" s="55"/>
      <c r="O7" s="69"/>
      <c r="P7" s="57"/>
    </row>
    <row r="8" spans="1:16" s="49" customFormat="1" ht="60" x14ac:dyDescent="0.25">
      <c r="A8" s="81"/>
      <c r="B8" s="61"/>
      <c r="C8" s="61"/>
      <c r="D8" s="63" t="s">
        <v>66</v>
      </c>
      <c r="E8" s="63" t="s">
        <v>64</v>
      </c>
      <c r="F8" s="63">
        <v>2</v>
      </c>
      <c r="G8" s="63">
        <v>4</v>
      </c>
      <c r="H8" s="64">
        <f>G8*F8</f>
        <v>8</v>
      </c>
      <c r="I8" s="50" t="s">
        <v>67</v>
      </c>
      <c r="J8" s="50" t="s">
        <v>68</v>
      </c>
      <c r="K8" s="51">
        <v>46142</v>
      </c>
      <c r="L8" s="63">
        <v>1</v>
      </c>
      <c r="M8" s="63">
        <v>3</v>
      </c>
      <c r="N8" s="64">
        <f>M8*L8</f>
        <v>3</v>
      </c>
      <c r="O8" s="66">
        <v>46143</v>
      </c>
      <c r="P8" s="67"/>
    </row>
    <row r="9" spans="1:16" s="49" customFormat="1" ht="30.75" thickBot="1" x14ac:dyDescent="0.3">
      <c r="A9" s="79"/>
      <c r="B9" s="62"/>
      <c r="C9" s="61"/>
      <c r="D9" s="61"/>
      <c r="E9" s="61"/>
      <c r="F9" s="61"/>
      <c r="G9" s="61"/>
      <c r="H9" s="71"/>
      <c r="I9" s="72" t="s">
        <v>72</v>
      </c>
      <c r="J9" s="72" t="s">
        <v>68</v>
      </c>
      <c r="K9" s="73">
        <v>46235</v>
      </c>
      <c r="L9" s="61"/>
      <c r="M9" s="61"/>
      <c r="N9" s="71"/>
      <c r="O9" s="74"/>
      <c r="P9" s="75"/>
    </row>
    <row r="10" spans="1:16" s="49" customFormat="1" ht="30" customHeight="1" x14ac:dyDescent="0.25">
      <c r="A10" s="78" t="s">
        <v>69</v>
      </c>
      <c r="B10" s="60" t="s">
        <v>70</v>
      </c>
      <c r="C10" s="60" t="s">
        <v>71</v>
      </c>
      <c r="D10" s="60" t="s">
        <v>66</v>
      </c>
      <c r="E10" s="60" t="s">
        <v>64</v>
      </c>
      <c r="F10" s="60">
        <v>2</v>
      </c>
      <c r="G10" s="60">
        <v>4</v>
      </c>
      <c r="H10" s="80">
        <f>G10*F10</f>
        <v>8</v>
      </c>
      <c r="I10" s="55" t="s">
        <v>75</v>
      </c>
      <c r="J10" s="55" t="s">
        <v>68</v>
      </c>
      <c r="K10" s="69">
        <v>46142</v>
      </c>
      <c r="L10" s="55">
        <v>1</v>
      </c>
      <c r="M10" s="55">
        <v>3</v>
      </c>
      <c r="N10" s="56">
        <f t="shared" ref="N10:N11" si="0">M10*L10</f>
        <v>3</v>
      </c>
      <c r="O10" s="69">
        <v>46143</v>
      </c>
      <c r="P10" s="57"/>
    </row>
    <row r="11" spans="1:16" s="48" customFormat="1" ht="45.75" thickBot="1" x14ac:dyDescent="0.3">
      <c r="A11" s="79"/>
      <c r="B11" s="62"/>
      <c r="C11" s="62"/>
      <c r="D11" s="62"/>
      <c r="E11" s="62"/>
      <c r="F11" s="62"/>
      <c r="G11" s="62"/>
      <c r="H11" s="65"/>
      <c r="I11" s="58" t="s">
        <v>74</v>
      </c>
      <c r="J11" s="59" t="s">
        <v>68</v>
      </c>
      <c r="K11" s="76">
        <v>46142</v>
      </c>
      <c r="L11" s="59">
        <v>1</v>
      </c>
      <c r="M11" s="59">
        <v>3</v>
      </c>
      <c r="N11" s="59">
        <f t="shared" si="0"/>
        <v>3</v>
      </c>
      <c r="O11" s="76">
        <v>46143</v>
      </c>
      <c r="P11" s="77"/>
    </row>
    <row r="12" spans="1:16" s="48" customFormat="1" ht="30" x14ac:dyDescent="0.25">
      <c r="A12" s="78" t="s">
        <v>76</v>
      </c>
      <c r="B12" s="60" t="s">
        <v>78</v>
      </c>
      <c r="C12" s="60" t="s">
        <v>77</v>
      </c>
      <c r="D12" s="60" t="s">
        <v>66</v>
      </c>
      <c r="E12" s="60" t="s">
        <v>64</v>
      </c>
      <c r="F12" s="60">
        <v>2</v>
      </c>
      <c r="G12" s="60">
        <v>3</v>
      </c>
      <c r="H12" s="80">
        <f>G12*F12</f>
        <v>6</v>
      </c>
      <c r="I12" s="55" t="s">
        <v>79</v>
      </c>
      <c r="J12" s="55" t="s">
        <v>68</v>
      </c>
      <c r="K12" s="69">
        <v>46142</v>
      </c>
      <c r="L12" s="55">
        <v>1</v>
      </c>
      <c r="M12" s="55">
        <v>2</v>
      </c>
      <c r="N12" s="56">
        <f t="shared" ref="N12:N13" si="1">M12*L12</f>
        <v>2</v>
      </c>
      <c r="O12" s="69">
        <v>46143</v>
      </c>
    </row>
    <row r="13" spans="1:16" s="48" customFormat="1" ht="30.75" thickBot="1" x14ac:dyDescent="0.3">
      <c r="A13" s="79"/>
      <c r="B13" s="62"/>
      <c r="C13" s="62"/>
      <c r="D13" s="62"/>
      <c r="E13" s="62"/>
      <c r="F13" s="62"/>
      <c r="G13" s="62"/>
      <c r="H13" s="65"/>
      <c r="I13" s="58" t="s">
        <v>80</v>
      </c>
      <c r="J13" s="59" t="s">
        <v>68</v>
      </c>
      <c r="K13" s="76">
        <v>46142</v>
      </c>
      <c r="L13" s="59">
        <v>1</v>
      </c>
      <c r="M13" s="59">
        <v>2</v>
      </c>
      <c r="N13" s="59">
        <f t="shared" si="1"/>
        <v>2</v>
      </c>
      <c r="O13" s="76">
        <v>46143</v>
      </c>
    </row>
    <row r="14" spans="1:16" s="48" customFormat="1" ht="30" x14ac:dyDescent="0.25">
      <c r="A14" s="78" t="s">
        <v>81</v>
      </c>
      <c r="B14" s="60" t="s">
        <v>82</v>
      </c>
      <c r="C14" s="60" t="s">
        <v>83</v>
      </c>
      <c r="D14" s="60" t="s">
        <v>66</v>
      </c>
      <c r="E14" s="60" t="s">
        <v>64</v>
      </c>
      <c r="F14" s="60">
        <v>2</v>
      </c>
      <c r="G14" s="60">
        <v>3</v>
      </c>
      <c r="H14" s="80">
        <f>G14*F14</f>
        <v>6</v>
      </c>
      <c r="I14" s="55" t="s">
        <v>84</v>
      </c>
      <c r="J14" s="55" t="s">
        <v>68</v>
      </c>
      <c r="K14" s="69">
        <v>46142</v>
      </c>
      <c r="L14" s="55">
        <v>1</v>
      </c>
      <c r="M14" s="55">
        <v>2</v>
      </c>
      <c r="N14" s="56">
        <f t="shared" ref="N14:N15" si="2">M14*L14</f>
        <v>2</v>
      </c>
      <c r="O14" s="69">
        <v>46143</v>
      </c>
    </row>
    <row r="15" spans="1:16" s="48" customFormat="1" ht="60.75" thickBot="1" x14ac:dyDescent="0.3">
      <c r="A15" s="79"/>
      <c r="B15" s="62"/>
      <c r="C15" s="62"/>
      <c r="D15" s="62"/>
      <c r="E15" s="62"/>
      <c r="F15" s="62"/>
      <c r="G15" s="62"/>
      <c r="H15" s="65"/>
      <c r="I15" s="58" t="s">
        <v>88</v>
      </c>
      <c r="J15" s="59" t="s">
        <v>68</v>
      </c>
      <c r="K15" s="76">
        <v>46142</v>
      </c>
      <c r="L15" s="59">
        <v>1</v>
      </c>
      <c r="M15" s="59">
        <v>2</v>
      </c>
      <c r="N15" s="59">
        <f t="shared" si="2"/>
        <v>2</v>
      </c>
      <c r="O15" s="76">
        <v>46143</v>
      </c>
    </row>
    <row r="16" spans="1:16" s="48" customFormat="1" ht="30" x14ac:dyDescent="0.25">
      <c r="A16" s="78" t="s">
        <v>85</v>
      </c>
      <c r="B16" s="60" t="s">
        <v>90</v>
      </c>
      <c r="C16" s="60" t="s">
        <v>86</v>
      </c>
      <c r="D16" s="60" t="s">
        <v>66</v>
      </c>
      <c r="E16" s="60" t="s">
        <v>64</v>
      </c>
      <c r="F16" s="60">
        <v>2</v>
      </c>
      <c r="G16" s="60">
        <v>3</v>
      </c>
      <c r="H16" s="80">
        <f>G16*F16</f>
        <v>6</v>
      </c>
      <c r="I16" s="55" t="s">
        <v>87</v>
      </c>
      <c r="J16" s="55" t="s">
        <v>68</v>
      </c>
      <c r="K16" s="69">
        <v>46142</v>
      </c>
      <c r="L16" s="55">
        <v>1</v>
      </c>
      <c r="M16" s="55">
        <v>2</v>
      </c>
      <c r="N16" s="56">
        <f t="shared" ref="N16:N17" si="3">M16*L16</f>
        <v>2</v>
      </c>
      <c r="O16" s="69">
        <v>46143</v>
      </c>
    </row>
    <row r="17" spans="1:15" s="48" customFormat="1" ht="45.75" thickBot="1" x14ac:dyDescent="0.3">
      <c r="A17" s="81"/>
      <c r="B17" s="61"/>
      <c r="C17" s="61"/>
      <c r="D17" s="61"/>
      <c r="E17" s="61"/>
      <c r="F17" s="61"/>
      <c r="G17" s="61"/>
      <c r="H17" s="71"/>
      <c r="I17" s="72" t="s">
        <v>89</v>
      </c>
      <c r="J17" s="82" t="s">
        <v>68</v>
      </c>
      <c r="K17" s="83">
        <v>46142</v>
      </c>
      <c r="L17" s="82">
        <v>1</v>
      </c>
      <c r="M17" s="82">
        <v>2</v>
      </c>
      <c r="N17" s="82">
        <f t="shared" si="3"/>
        <v>2</v>
      </c>
      <c r="O17" s="83">
        <v>46143</v>
      </c>
    </row>
    <row r="18" spans="1:15" s="49" customFormat="1" ht="60.75" thickBot="1" x14ac:dyDescent="0.3">
      <c r="A18" s="52" t="s">
        <v>91</v>
      </c>
      <c r="B18" s="53" t="s">
        <v>92</v>
      </c>
      <c r="C18" s="53" t="s">
        <v>94</v>
      </c>
      <c r="D18" s="53" t="s">
        <v>66</v>
      </c>
      <c r="E18" s="53" t="s">
        <v>64</v>
      </c>
      <c r="F18" s="53">
        <v>1</v>
      </c>
      <c r="G18" s="53">
        <v>3</v>
      </c>
      <c r="H18" s="53">
        <f>G18*F18</f>
        <v>3</v>
      </c>
      <c r="I18" s="53"/>
      <c r="J18" s="53"/>
      <c r="K18" s="68"/>
      <c r="L18" s="53"/>
      <c r="M18" s="53"/>
      <c r="N18" s="53"/>
      <c r="O18" s="84"/>
    </row>
    <row r="19" spans="1:15" s="49" customFormat="1" ht="45.75" thickBot="1" x14ac:dyDescent="0.3">
      <c r="A19" s="52" t="s">
        <v>93</v>
      </c>
      <c r="B19" s="53" t="s">
        <v>92</v>
      </c>
      <c r="C19" s="53" t="s">
        <v>95</v>
      </c>
      <c r="D19" s="53" t="s">
        <v>66</v>
      </c>
      <c r="E19" s="53" t="s">
        <v>64</v>
      </c>
      <c r="F19" s="53">
        <v>1</v>
      </c>
      <c r="G19" s="53">
        <v>3</v>
      </c>
      <c r="H19" s="53">
        <f>G19*F19</f>
        <v>3</v>
      </c>
      <c r="I19" s="53"/>
      <c r="J19" s="53"/>
      <c r="K19" s="68"/>
      <c r="L19" s="53"/>
      <c r="M19" s="53"/>
      <c r="N19" s="53"/>
      <c r="O19" s="84"/>
    </row>
    <row r="20" spans="1:15" s="48" customFormat="1" x14ac:dyDescent="0.25">
      <c r="K20" s="70"/>
      <c r="O20" s="70"/>
    </row>
    <row r="21" spans="1:15" s="48" customFormat="1" x14ac:dyDescent="0.25">
      <c r="K21" s="70"/>
      <c r="O21" s="70"/>
    </row>
    <row r="22" spans="1:15" s="48" customFormat="1" x14ac:dyDescent="0.25">
      <c r="K22" s="70"/>
      <c r="O22" s="70"/>
    </row>
    <row r="23" spans="1:15" s="48" customFormat="1" x14ac:dyDescent="0.25">
      <c r="K23" s="70"/>
      <c r="O23" s="70"/>
    </row>
    <row r="24" spans="1:15" s="48" customFormat="1" x14ac:dyDescent="0.25">
      <c r="K24" s="70"/>
      <c r="O24" s="70"/>
    </row>
    <row r="25" spans="1:15" s="48" customFormat="1" x14ac:dyDescent="0.25">
      <c r="K25" s="70"/>
      <c r="O25" s="70"/>
    </row>
    <row r="26" spans="1:15" s="48" customFormat="1" x14ac:dyDescent="0.25">
      <c r="K26" s="70"/>
      <c r="O26" s="70"/>
    </row>
    <row r="27" spans="1:15" s="48" customFormat="1" x14ac:dyDescent="0.25">
      <c r="K27" s="70"/>
      <c r="O27" s="70"/>
    </row>
    <row r="28" spans="1:15" s="48" customFormat="1" x14ac:dyDescent="0.25">
      <c r="K28" s="70"/>
      <c r="O28" s="70"/>
    </row>
    <row r="29" spans="1:15" s="48" customFormat="1" x14ac:dyDescent="0.25">
      <c r="K29" s="70"/>
      <c r="O29" s="70"/>
    </row>
    <row r="30" spans="1:15" s="48" customFormat="1" x14ac:dyDescent="0.25">
      <c r="K30" s="70"/>
      <c r="O30" s="70"/>
    </row>
    <row r="31" spans="1:15" s="48" customFormat="1" x14ac:dyDescent="0.25">
      <c r="K31" s="70"/>
      <c r="O31" s="70"/>
    </row>
    <row r="32" spans="1:15" s="48" customFormat="1" x14ac:dyDescent="0.25">
      <c r="K32" s="70"/>
      <c r="O32" s="70"/>
    </row>
    <row r="33" spans="11:15" s="48" customFormat="1" x14ac:dyDescent="0.25">
      <c r="K33" s="70"/>
      <c r="O33" s="70"/>
    </row>
    <row r="34" spans="11:15" s="48" customFormat="1" x14ac:dyDescent="0.25">
      <c r="K34" s="70"/>
      <c r="O34" s="70"/>
    </row>
    <row r="35" spans="11:15" s="48" customFormat="1" x14ac:dyDescent="0.25">
      <c r="K35" s="70"/>
      <c r="O35" s="70"/>
    </row>
    <row r="36" spans="11:15" s="48" customFormat="1" x14ac:dyDescent="0.25">
      <c r="K36" s="70"/>
      <c r="O36" s="70"/>
    </row>
    <row r="37" spans="11:15" s="48" customFormat="1" x14ac:dyDescent="0.25">
      <c r="K37" s="70"/>
      <c r="O37" s="70"/>
    </row>
    <row r="38" spans="11:15" s="48" customFormat="1" x14ac:dyDescent="0.25">
      <c r="K38" s="70"/>
      <c r="O38" s="70"/>
    </row>
    <row r="39" spans="11:15" s="48" customFormat="1" x14ac:dyDescent="0.25">
      <c r="K39" s="70"/>
      <c r="O39" s="70"/>
    </row>
    <row r="40" spans="11:15" s="48" customFormat="1" x14ac:dyDescent="0.25">
      <c r="K40" s="70"/>
      <c r="O40" s="70"/>
    </row>
    <row r="41" spans="11:15" s="48" customFormat="1" x14ac:dyDescent="0.25">
      <c r="K41" s="70"/>
      <c r="O41" s="70"/>
    </row>
    <row r="42" spans="11:15" s="48" customFormat="1" x14ac:dyDescent="0.25">
      <c r="K42" s="70"/>
      <c r="O42" s="70"/>
    </row>
    <row r="43" spans="11:15" s="48" customFormat="1" x14ac:dyDescent="0.25">
      <c r="K43" s="70"/>
      <c r="O43" s="70"/>
    </row>
    <row r="44" spans="11:15" s="48" customFormat="1" x14ac:dyDescent="0.25">
      <c r="K44" s="70"/>
      <c r="O44" s="70"/>
    </row>
    <row r="45" spans="11:15" s="48" customFormat="1" x14ac:dyDescent="0.25">
      <c r="K45" s="70"/>
      <c r="O45" s="70"/>
    </row>
    <row r="46" spans="11:15" s="48" customFormat="1" x14ac:dyDescent="0.25">
      <c r="K46" s="70"/>
      <c r="O46" s="70"/>
    </row>
    <row r="47" spans="11:15" s="48" customFormat="1" x14ac:dyDescent="0.25">
      <c r="K47" s="70"/>
      <c r="O47" s="70"/>
    </row>
    <row r="48" spans="11:15" s="48" customFormat="1" x14ac:dyDescent="0.25">
      <c r="K48" s="70"/>
      <c r="O48" s="70"/>
    </row>
    <row r="49" spans="11:15" s="48" customFormat="1" x14ac:dyDescent="0.25">
      <c r="K49" s="70"/>
      <c r="O49" s="70"/>
    </row>
    <row r="50" spans="11:15" s="48" customFormat="1" x14ac:dyDescent="0.25">
      <c r="K50" s="70"/>
      <c r="O50" s="70"/>
    </row>
    <row r="51" spans="11:15" s="48" customFormat="1" x14ac:dyDescent="0.25">
      <c r="K51" s="70"/>
      <c r="O51" s="70"/>
    </row>
  </sheetData>
  <mergeCells count="45">
    <mergeCell ref="F16:F17"/>
    <mergeCell ref="G16:G17"/>
    <mergeCell ref="H16:H17"/>
    <mergeCell ref="D14:D15"/>
    <mergeCell ref="E14:E15"/>
    <mergeCell ref="F14:F15"/>
    <mergeCell ref="G14:G15"/>
    <mergeCell ref="H14:H15"/>
    <mergeCell ref="A16:A17"/>
    <mergeCell ref="B16:B17"/>
    <mergeCell ref="C16:C17"/>
    <mergeCell ref="D16:D17"/>
    <mergeCell ref="E16:E17"/>
    <mergeCell ref="A12:A13"/>
    <mergeCell ref="B12:B13"/>
    <mergeCell ref="C12:C13"/>
    <mergeCell ref="A14:A15"/>
    <mergeCell ref="B14:B15"/>
    <mergeCell ref="C14:C15"/>
    <mergeCell ref="G10:G11"/>
    <mergeCell ref="H10:H11"/>
    <mergeCell ref="D12:D13"/>
    <mergeCell ref="E12:E13"/>
    <mergeCell ref="H12:H13"/>
    <mergeCell ref="F12:F13"/>
    <mergeCell ref="G12:G13"/>
    <mergeCell ref="M8:M9"/>
    <mergeCell ref="N8:N9"/>
    <mergeCell ref="O8:O9"/>
    <mergeCell ref="P8:P9"/>
    <mergeCell ref="A10:A11"/>
    <mergeCell ref="B10:B11"/>
    <mergeCell ref="C10:C11"/>
    <mergeCell ref="D10:D11"/>
    <mergeCell ref="E10:E11"/>
    <mergeCell ref="F10:F11"/>
    <mergeCell ref="D8:D9"/>
    <mergeCell ref="E8:E9"/>
    <mergeCell ref="F8:F9"/>
    <mergeCell ref="G8:G9"/>
    <mergeCell ref="H8:H9"/>
    <mergeCell ref="L8:L9"/>
    <mergeCell ref="A7:A9"/>
    <mergeCell ref="B7:B9"/>
    <mergeCell ref="C7:C9"/>
  </mergeCells>
  <conditionalFormatting sqref="H7:H8 N8">
    <cfRule type="expression" dxfId="23" priority="22">
      <formula>H7&gt;11</formula>
    </cfRule>
    <cfRule type="expression" dxfId="22" priority="23">
      <formula>H7&gt;5</formula>
    </cfRule>
    <cfRule type="expression" dxfId="21" priority="24">
      <formula>H7&lt;=5</formula>
    </cfRule>
  </conditionalFormatting>
  <conditionalFormatting sqref="H10">
    <cfRule type="expression" dxfId="17" priority="16">
      <formula>H10&gt;11</formula>
    </cfRule>
    <cfRule type="expression" dxfId="16" priority="17">
      <formula>H10&gt;5</formula>
    </cfRule>
    <cfRule type="expression" dxfId="15" priority="18">
      <formula>H10&lt;=5</formula>
    </cfRule>
  </conditionalFormatting>
  <conditionalFormatting sqref="N10:N17">
    <cfRule type="expression" dxfId="14" priority="13">
      <formula>N10&gt;11</formula>
    </cfRule>
    <cfRule type="expression" dxfId="13" priority="14">
      <formula>N10&gt;5</formula>
    </cfRule>
    <cfRule type="expression" dxfId="12" priority="15">
      <formula>N10&lt;=5</formula>
    </cfRule>
  </conditionalFormatting>
  <conditionalFormatting sqref="H12">
    <cfRule type="expression" dxfId="11" priority="10">
      <formula>H12&gt;11</formula>
    </cfRule>
    <cfRule type="expression" dxfId="10" priority="11">
      <formula>H12&gt;5</formula>
    </cfRule>
    <cfRule type="expression" dxfId="9" priority="12">
      <formula>H12&lt;=5</formula>
    </cfRule>
  </conditionalFormatting>
  <conditionalFormatting sqref="H14">
    <cfRule type="expression" dxfId="8" priority="7">
      <formula>H14&gt;11</formula>
    </cfRule>
    <cfRule type="expression" dxfId="7" priority="8">
      <formula>H14&gt;5</formula>
    </cfRule>
    <cfRule type="expression" dxfId="6" priority="9">
      <formula>H14&lt;=5</formula>
    </cfRule>
  </conditionalFormatting>
  <conditionalFormatting sqref="H16">
    <cfRule type="expression" dxfId="5" priority="4">
      <formula>H16&gt;11</formula>
    </cfRule>
    <cfRule type="expression" dxfId="4" priority="5">
      <formula>H16&gt;5</formula>
    </cfRule>
    <cfRule type="expression" dxfId="3" priority="6">
      <formula>H16&lt;=5</formula>
    </cfRule>
  </conditionalFormatting>
  <conditionalFormatting sqref="H18:H19">
    <cfRule type="expression" dxfId="2" priority="1">
      <formula>H18&gt;11</formula>
    </cfRule>
    <cfRule type="expression" dxfId="1" priority="2">
      <formula>H18&gt;5</formula>
    </cfRule>
    <cfRule type="expression" dxfId="0" priority="3">
      <formula>H18&lt;=5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AB82-DA19-487A-A294-B27383594BFE}">
  <dimension ref="A3:L19"/>
  <sheetViews>
    <sheetView workbookViewId="0">
      <selection activeCell="I7" sqref="I7"/>
    </sheetView>
  </sheetViews>
  <sheetFormatPr defaultRowHeight="15" x14ac:dyDescent="0.25"/>
  <cols>
    <col min="2" max="2" width="25" bestFit="1" customWidth="1"/>
    <col min="3" max="3" width="85" bestFit="1" customWidth="1"/>
  </cols>
  <sheetData>
    <row r="3" spans="1:12" x14ac:dyDescent="0.25">
      <c r="A3" s="3" t="s">
        <v>25</v>
      </c>
      <c r="B3" t="s">
        <v>26</v>
      </c>
      <c r="C3" t="s">
        <v>27</v>
      </c>
    </row>
    <row r="4" spans="1:12" ht="15.75" thickBot="1" x14ac:dyDescent="0.3">
      <c r="A4" s="3">
        <v>1</v>
      </c>
      <c r="B4" t="s">
        <v>28</v>
      </c>
      <c r="C4" t="s">
        <v>29</v>
      </c>
    </row>
    <row r="5" spans="1:12" ht="15.75" thickBot="1" x14ac:dyDescent="0.3">
      <c r="A5" s="3">
        <v>2</v>
      </c>
      <c r="B5" t="s">
        <v>30</v>
      </c>
      <c r="C5" t="s">
        <v>31</v>
      </c>
      <c r="F5" s="4" t="s">
        <v>32</v>
      </c>
      <c r="G5" s="5"/>
      <c r="H5" s="5"/>
      <c r="I5" s="5"/>
      <c r="J5" s="5"/>
      <c r="K5" s="5"/>
      <c r="L5" s="6"/>
    </row>
    <row r="6" spans="1:12" x14ac:dyDescent="0.25">
      <c r="A6" s="3">
        <v>3</v>
      </c>
      <c r="B6" t="s">
        <v>33</v>
      </c>
      <c r="C6" t="s">
        <v>34</v>
      </c>
      <c r="F6" s="7" t="s">
        <v>35</v>
      </c>
      <c r="G6" s="8">
        <v>5</v>
      </c>
      <c r="H6" s="9">
        <f t="shared" ref="H6:L10" si="0">$G6*H$11</f>
        <v>5</v>
      </c>
      <c r="I6" s="10">
        <f t="shared" si="0"/>
        <v>10</v>
      </c>
      <c r="J6" s="10">
        <f t="shared" si="0"/>
        <v>15</v>
      </c>
      <c r="K6" s="10">
        <f t="shared" si="0"/>
        <v>20</v>
      </c>
      <c r="L6" s="11">
        <f t="shared" si="0"/>
        <v>25</v>
      </c>
    </row>
    <row r="7" spans="1:12" x14ac:dyDescent="0.25">
      <c r="A7" s="3">
        <v>4</v>
      </c>
      <c r="B7" t="s">
        <v>36</v>
      </c>
      <c r="C7" t="s">
        <v>37</v>
      </c>
      <c r="F7" s="12"/>
      <c r="G7" s="13">
        <v>4</v>
      </c>
      <c r="H7" s="14">
        <f t="shared" si="0"/>
        <v>4</v>
      </c>
      <c r="I7" s="15">
        <f t="shared" si="0"/>
        <v>8</v>
      </c>
      <c r="J7" s="15">
        <f t="shared" si="0"/>
        <v>12</v>
      </c>
      <c r="K7" s="15">
        <f t="shared" si="0"/>
        <v>16</v>
      </c>
      <c r="L7" s="16">
        <f t="shared" si="0"/>
        <v>20</v>
      </c>
    </row>
    <row r="8" spans="1:12" x14ac:dyDescent="0.25">
      <c r="A8" s="3">
        <v>5</v>
      </c>
      <c r="B8" t="s">
        <v>38</v>
      </c>
      <c r="C8" t="s">
        <v>39</v>
      </c>
      <c r="F8" s="12"/>
      <c r="G8" s="13">
        <v>3</v>
      </c>
      <c r="H8" s="14">
        <f t="shared" si="0"/>
        <v>3</v>
      </c>
      <c r="I8" s="15">
        <f t="shared" si="0"/>
        <v>6</v>
      </c>
      <c r="J8" s="15">
        <f t="shared" si="0"/>
        <v>9</v>
      </c>
      <c r="K8" s="15">
        <f t="shared" si="0"/>
        <v>12</v>
      </c>
      <c r="L8" s="16">
        <f t="shared" si="0"/>
        <v>15</v>
      </c>
    </row>
    <row r="9" spans="1:12" x14ac:dyDescent="0.25">
      <c r="A9" s="3"/>
      <c r="F9" s="12"/>
      <c r="G9" s="13">
        <v>2</v>
      </c>
      <c r="H9" s="14">
        <f t="shared" si="0"/>
        <v>2</v>
      </c>
      <c r="I9" s="15">
        <f t="shared" si="0"/>
        <v>4</v>
      </c>
      <c r="J9" s="15">
        <f t="shared" si="0"/>
        <v>6</v>
      </c>
      <c r="K9" s="15">
        <f t="shared" si="0"/>
        <v>8</v>
      </c>
      <c r="L9" s="16">
        <f t="shared" si="0"/>
        <v>10</v>
      </c>
    </row>
    <row r="10" spans="1:12" ht="15.75" thickBot="1" x14ac:dyDescent="0.3">
      <c r="A10" s="3" t="s">
        <v>25</v>
      </c>
      <c r="B10" t="s">
        <v>40</v>
      </c>
      <c r="C10" t="s">
        <v>41</v>
      </c>
      <c r="F10" s="17"/>
      <c r="G10" s="18">
        <v>1</v>
      </c>
      <c r="H10" s="19">
        <f>$G10*H$11</f>
        <v>1</v>
      </c>
      <c r="I10" s="20">
        <f t="shared" si="0"/>
        <v>2</v>
      </c>
      <c r="J10" s="20">
        <f t="shared" si="0"/>
        <v>3</v>
      </c>
      <c r="K10" s="20">
        <f t="shared" si="0"/>
        <v>4</v>
      </c>
      <c r="L10" s="21">
        <f t="shared" si="0"/>
        <v>5</v>
      </c>
    </row>
    <row r="11" spans="1:12" x14ac:dyDescent="0.25">
      <c r="A11" s="3">
        <v>1</v>
      </c>
      <c r="B11" t="s">
        <v>42</v>
      </c>
      <c r="C11" t="s">
        <v>43</v>
      </c>
      <c r="F11" s="22"/>
      <c r="H11" s="9">
        <v>1</v>
      </c>
      <c r="I11" s="10">
        <v>2</v>
      </c>
      <c r="J11" s="10">
        <v>3</v>
      </c>
      <c r="K11" s="10">
        <v>4</v>
      </c>
      <c r="L11" s="11">
        <v>5</v>
      </c>
    </row>
    <row r="12" spans="1:12" ht="15.75" thickBot="1" x14ac:dyDescent="0.3">
      <c r="A12" s="3">
        <v>2</v>
      </c>
      <c r="B12" t="s">
        <v>44</v>
      </c>
      <c r="C12" t="s">
        <v>45</v>
      </c>
      <c r="F12" s="23"/>
      <c r="G12" s="24"/>
      <c r="H12" s="25" t="s">
        <v>46</v>
      </c>
      <c r="I12" s="26"/>
      <c r="J12" s="26"/>
      <c r="K12" s="26"/>
      <c r="L12" s="27"/>
    </row>
    <row r="13" spans="1:12" x14ac:dyDescent="0.25">
      <c r="A13" s="3">
        <v>3</v>
      </c>
      <c r="B13" t="s">
        <v>47</v>
      </c>
      <c r="C13" t="s">
        <v>48</v>
      </c>
    </row>
    <row r="14" spans="1:12" x14ac:dyDescent="0.25">
      <c r="A14" s="3">
        <v>4</v>
      </c>
      <c r="B14" t="s">
        <v>49</v>
      </c>
      <c r="C14" t="s">
        <v>50</v>
      </c>
    </row>
    <row r="15" spans="1:12" ht="15.75" thickBot="1" x14ac:dyDescent="0.3">
      <c r="A15" s="3">
        <v>5</v>
      </c>
      <c r="B15" t="s">
        <v>51</v>
      </c>
      <c r="C15" t="s">
        <v>52</v>
      </c>
    </row>
    <row r="16" spans="1:12" ht="15.75" thickBot="1" x14ac:dyDescent="0.3">
      <c r="F16" s="28" t="s">
        <v>53</v>
      </c>
      <c r="G16" s="29"/>
      <c r="H16" s="30" t="s">
        <v>54</v>
      </c>
      <c r="I16" s="31"/>
      <c r="J16" s="31"/>
      <c r="K16" s="31"/>
      <c r="L16" s="32"/>
    </row>
    <row r="17" spans="6:12" ht="15.75" thickBot="1" x14ac:dyDescent="0.3">
      <c r="F17" s="33" t="s">
        <v>55</v>
      </c>
      <c r="G17" s="34" t="s">
        <v>56</v>
      </c>
      <c r="H17" s="35" t="s">
        <v>57</v>
      </c>
      <c r="I17" s="36"/>
      <c r="J17" s="36"/>
      <c r="K17" s="36"/>
      <c r="L17" s="37"/>
    </row>
    <row r="18" spans="6:12" ht="15.75" thickBot="1" x14ac:dyDescent="0.3">
      <c r="F18" s="38" t="s">
        <v>58</v>
      </c>
      <c r="G18" s="39" t="s">
        <v>59</v>
      </c>
      <c r="H18" s="40" t="s">
        <v>60</v>
      </c>
      <c r="I18" s="41"/>
      <c r="J18" s="41"/>
      <c r="K18" s="41"/>
      <c r="L18" s="42"/>
    </row>
    <row r="19" spans="6:12" ht="15.75" thickBot="1" x14ac:dyDescent="0.3">
      <c r="F19" s="43" t="s">
        <v>61</v>
      </c>
      <c r="G19" s="44" t="s">
        <v>62</v>
      </c>
      <c r="H19" s="45" t="s">
        <v>63</v>
      </c>
      <c r="I19" s="46"/>
      <c r="J19" s="46"/>
      <c r="K19" s="46"/>
      <c r="L19" s="47"/>
    </row>
  </sheetData>
  <mergeCells count="3">
    <mergeCell ref="F6:F10"/>
    <mergeCell ref="F16:G16"/>
    <mergeCell ref="H16:L16"/>
  </mergeCells>
  <conditionalFormatting sqref="H6:L10">
    <cfRule type="expression" dxfId="20" priority="1">
      <formula>H6&gt;11</formula>
    </cfRule>
    <cfRule type="expression" dxfId="19" priority="2">
      <formula>H6&gt;5</formula>
    </cfRule>
    <cfRule type="expression" dxfId="18" priority="3">
      <formula>H6&lt;=5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RA_Template</vt:lpstr>
      <vt:lpstr>Risk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Irwin</dc:creator>
  <cp:lastModifiedBy>Steve Irwin</cp:lastModifiedBy>
  <dcterms:created xsi:type="dcterms:W3CDTF">2026-02-18T11:03:11Z</dcterms:created>
  <dcterms:modified xsi:type="dcterms:W3CDTF">2026-02-18T13:12:37Z</dcterms:modified>
</cp:coreProperties>
</file>