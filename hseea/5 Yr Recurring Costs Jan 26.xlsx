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veIrwin\terminai\hseea\"/>
    </mc:Choice>
  </mc:AlternateContent>
  <xr:revisionPtr revIDLastSave="0" documentId="13_ncr:1_{A1BCAEE0-19B5-4ECF-9F6A-1208BD06F4C7}" xr6:coauthVersionLast="47" xr6:coauthVersionMax="47" xr10:uidLastSave="{00000000-0000-0000-0000-000000000000}"/>
  <bookViews>
    <workbookView xWindow="-120" yWindow="-120" windowWidth="29040" windowHeight="15720" xr2:uid="{0CA2501F-91BE-42C7-AAA3-797ADE5E9FAE}"/>
  </bookViews>
  <sheets>
    <sheet name="Sheet1" sheetId="1" r:id="rId1"/>
  </sheets>
  <definedNames>
    <definedName name="_xlnm.Print_Area" localSheetId="0">Sheet1!$A$1:$G$37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G16" i="1"/>
  <c r="C16" i="1"/>
  <c r="G2" i="1"/>
  <c r="Y9" i="1"/>
  <c r="Y8" i="1"/>
  <c r="C37" i="1"/>
  <c r="G23" i="1"/>
  <c r="C28" i="1"/>
  <c r="G8" i="1"/>
  <c r="C13" i="1"/>
  <c r="Y7" i="1" s="1"/>
  <c r="Y10" i="1" s="1"/>
  <c r="W7" i="1" l="1"/>
  <c r="W10" i="1" s="1"/>
  <c r="W12" i="1" s="1"/>
</calcChain>
</file>

<file path=xl/sharedStrings.xml><?xml version="1.0" encoding="utf-8"?>
<sst xmlns="http://schemas.openxmlformats.org/spreadsheetml/2006/main" count="60" uniqueCount="23">
  <si>
    <t>Qty</t>
  </si>
  <si>
    <t>Cost</t>
  </si>
  <si>
    <t>PAT Testing</t>
  </si>
  <si>
    <t>Fire Extinguisher Check</t>
  </si>
  <si>
    <t>SEMA Rack Inspection</t>
  </si>
  <si>
    <t>First Aid at Work Training</t>
  </si>
  <si>
    <t>Fire Risk Assessment</t>
  </si>
  <si>
    <t>WorkNest Consultancy</t>
  </si>
  <si>
    <t>Fire escape Engineer Inspection</t>
  </si>
  <si>
    <t>Banksman Training</t>
  </si>
  <si>
    <t>Fire Stick Extinguishers</t>
  </si>
  <si>
    <t>Eye Tests</t>
  </si>
  <si>
    <t>Hearing Tests</t>
  </si>
  <si>
    <t>Total</t>
  </si>
  <si>
    <t>Forklift Truck (FLT) Training</t>
  </si>
  <si>
    <t>Electrical Safety Inspection</t>
  </si>
  <si>
    <t>FLT Instructor Training</t>
  </si>
  <si>
    <t>Emergency First Aid Training</t>
  </si>
  <si>
    <t>DSE Training</t>
  </si>
  <si>
    <t>Manual Handling</t>
  </si>
  <si>
    <t>Fire Marshal Training</t>
  </si>
  <si>
    <t>1st Year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</si>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</sst>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3F80-184B-4523-B451-EDA72D8AF013}">
  <sheetPr>
    <pageSetUpPr fitToPage="1"/>
  </sheetPr>
  <dimension ref="A1:Y37"/>
  <sheetViews>
    <sheetView tabSelected="1" view="pageLayout" zoomScaleNormal="100" workbookViewId="0">
      <selection activeCell="E13" sqref="E13"/>
    </sheetView>
  </sheetViews>
  <sheetFormatPr defaultRowHeight="15" x14ac:dyDescent="0.25"/>
  <cols>
    <col min="1" max="1" width="28.5703125" customWidth="1"/>
    <col min="2" max="3" width="9.140625" customWidth="1"/>
    <col min="4" max="4" width="5.140625" customWidth="1"/>
    <col min="5" max="5" width="28.5703125" customWidth="1"/>
    <col min="6" max="7" width="9.140625" customWidth="1"/>
  </cols>
  <sheetData>
    <row r="1" spans="1:25" x14ac:dyDescent="0.25">
      <c r="A1" s="1">
        <v>2026</v>
      </c>
      <c r="B1" s="1" t="s">
        <v>0</v>
      </c>
      <c r="C1" s="1" t="s">
        <v>1</v>
      </c>
      <c r="E1" s="1">
        <v>2027</v>
      </c>
      <c r="F1" s="1" t="s">
        <v>0</v>
      </c>
      <c r="G1" s="6" t="s">
        <v>1</v>
      </c>
    </row>
    <row r="2" spans="1:25" x14ac:dyDescent="0.25">
      <c r="A2" s="2" t="s">
        <v>2</v>
      </c>
      <c r="B2" s="1">
        <v>2</v>
      </c>
      <c r="C2" s="3">
        <v>400</v>
      </c>
      <c r="E2" s="2" t="s">
        <v>2</v>
      </c>
      <c r="F2" s="1">
        <v>2</v>
      </c>
      <c r="G2" s="3">
        <f>C2</f>
        <v>400</v>
      </c>
    </row>
    <row r="3" spans="1:25" x14ac:dyDescent="0.25">
      <c r="A3" s="2" t="s">
        <v>3</v>
      </c>
      <c r="B3" s="1">
        <v>2</v>
      </c>
      <c r="C3" s="3">
        <v>114</v>
      </c>
      <c r="E3" s="2" t="s">
        <v>3</v>
      </c>
      <c r="F3" s="1">
        <v>2</v>
      </c>
      <c r="G3" s="3">
        <v>114</v>
      </c>
    </row>
    <row r="4" spans="1:25" x14ac:dyDescent="0.25">
      <c r="A4" s="2" t="s">
        <v>4</v>
      </c>
      <c r="B4" s="1">
        <v>1</v>
      </c>
      <c r="C4" s="3">
        <v>600</v>
      </c>
      <c r="E4" s="2" t="s">
        <v>14</v>
      </c>
      <c r="F4" s="1">
        <v>2</v>
      </c>
      <c r="G4" s="3">
        <v>50</v>
      </c>
    </row>
    <row r="5" spans="1:25" x14ac:dyDescent="0.25">
      <c r="A5" s="2" t="s">
        <v>5</v>
      </c>
      <c r="B5" s="1">
        <v>1</v>
      </c>
      <c r="C5" s="3">
        <v>410</v>
      </c>
      <c r="E5" s="2" t="s">
        <v>15</v>
      </c>
      <c r="F5" s="1">
        <v>1</v>
      </c>
      <c r="G5" s="3">
        <v>400</v>
      </c>
    </row>
    <row r="6" spans="1:25" x14ac:dyDescent="0.25">
      <c r="A6" s="2" t="s">
        <v>6</v>
      </c>
      <c r="B6" s="1">
        <v>2</v>
      </c>
      <c r="C6" s="3">
        <v>1200</v>
      </c>
      <c r="E6" s="2" t="s">
        <v>7</v>
      </c>
      <c r="F6" s="1">
        <v>1</v>
      </c>
      <c r="G6" s="3">
        <v>2628</v>
      </c>
      <c r="W6" t="s">
        <v>13</v>
      </c>
      <c r="Y6" t="s">
        <v>21</v>
      </c>
    </row>
    <row r="7" spans="1:25" x14ac:dyDescent="0.25">
      <c r="A7" s="2" t="s">
        <v>7</v>
      </c>
      <c r="B7" s="1">
        <v>1</v>
      </c>
      <c r="C7" s="3">
        <v>2628</v>
      </c>
      <c r="E7" s="2" t="s">
        <v>12</v>
      </c>
      <c r="F7" s="1">
        <v>4</v>
      </c>
      <c r="G7" s="3">
        <v>200</v>
      </c>
      <c r="W7" s="7">
        <f>C13+G8+C28</f>
        <v>19481</v>
      </c>
      <c r="Y7" s="7">
        <f>C13</f>
        <v>8132</v>
      </c>
    </row>
    <row r="8" spans="1:25" x14ac:dyDescent="0.25">
      <c r="A8" s="2" t="s">
        <v>8</v>
      </c>
      <c r="B8" s="1">
        <v>1</v>
      </c>
      <c r="C8" s="3">
        <v>1000</v>
      </c>
      <c r="E8" s="4"/>
      <c r="F8" s="1" t="s">
        <v>13</v>
      </c>
      <c r="G8" s="3">
        <f>SUBTOTAL(9,G2:G7)</f>
        <v>3792</v>
      </c>
      <c r="W8">
        <v>500</v>
      </c>
      <c r="Y8">
        <f>W8</f>
        <v>500</v>
      </c>
    </row>
    <row r="9" spans="1:25" x14ac:dyDescent="0.25">
      <c r="A9" s="2" t="s">
        <v>9</v>
      </c>
      <c r="B9" s="1">
        <v>6</v>
      </c>
      <c r="C9" s="3">
        <v>195</v>
      </c>
      <c r="W9">
        <v>15824</v>
      </c>
      <c r="Y9">
        <f>W9</f>
        <v>15824</v>
      </c>
    </row>
    <row r="10" spans="1:25" x14ac:dyDescent="0.25">
      <c r="A10" s="2" t="s">
        <v>10</v>
      </c>
      <c r="B10" s="1">
        <v>10</v>
      </c>
      <c r="C10" s="3">
        <v>650</v>
      </c>
      <c r="W10" s="7">
        <f>SUM(W7:W9)</f>
        <v>35805</v>
      </c>
      <c r="Y10" s="7">
        <f>SUM(Y7:Y9)</f>
        <v>24456</v>
      </c>
    </row>
    <row r="11" spans="1:25" x14ac:dyDescent="0.25">
      <c r="A11" s="2" t="s">
        <v>11</v>
      </c>
      <c r="B11" s="1">
        <v>21</v>
      </c>
      <c r="C11" s="3">
        <v>735</v>
      </c>
      <c r="W11" t="s">
        <v>22</v>
      </c>
    </row>
    <row r="12" spans="1:25" x14ac:dyDescent="0.25">
      <c r="A12" s="2" t="s">
        <v>12</v>
      </c>
      <c r="B12" s="1">
        <v>4</v>
      </c>
      <c r="C12" s="3">
        <v>200</v>
      </c>
      <c r="W12" s="7">
        <f>W10/3</f>
        <v>11935</v>
      </c>
    </row>
    <row r="13" spans="1:25" x14ac:dyDescent="0.25">
      <c r="A13" s="4"/>
      <c r="B13" s="1" t="s">
        <v>13</v>
      </c>
      <c r="C13" s="3">
        <f>SUBTOTAL(9,C2:C12)</f>
        <v>8132</v>
      </c>
    </row>
    <row r="14" spans="1:25" x14ac:dyDescent="0.25">
      <c r="A14" s="4"/>
      <c r="B14" s="4"/>
      <c r="C14" s="5"/>
    </row>
    <row r="15" spans="1:25" x14ac:dyDescent="0.25">
      <c r="A15" s="1">
        <v>2028</v>
      </c>
      <c r="B15" s="1" t="s">
        <v>0</v>
      </c>
      <c r="C15" s="6" t="s">
        <v>1</v>
      </c>
      <c r="E15" s="1">
        <v>2029</v>
      </c>
      <c r="F15" s="1" t="s">
        <v>0</v>
      </c>
      <c r="G15" s="6" t="s">
        <v>1</v>
      </c>
    </row>
    <row r="16" spans="1:25" x14ac:dyDescent="0.25">
      <c r="A16" s="2" t="s">
        <v>2</v>
      </c>
      <c r="B16" s="1">
        <v>2</v>
      </c>
      <c r="C16" s="3">
        <f>C2</f>
        <v>400</v>
      </c>
      <c r="E16" s="2" t="s">
        <v>2</v>
      </c>
      <c r="F16" s="1">
        <v>2</v>
      </c>
      <c r="G16" s="3">
        <f>C2</f>
        <v>400</v>
      </c>
    </row>
    <row r="17" spans="1:7" x14ac:dyDescent="0.25">
      <c r="A17" s="2" t="s">
        <v>3</v>
      </c>
      <c r="B17" s="1">
        <v>2</v>
      </c>
      <c r="C17" s="3">
        <v>114</v>
      </c>
      <c r="E17" s="2" t="s">
        <v>3</v>
      </c>
      <c r="F17" s="1">
        <v>2</v>
      </c>
      <c r="G17" s="3">
        <v>114</v>
      </c>
    </row>
    <row r="18" spans="1:7" x14ac:dyDescent="0.25">
      <c r="A18" s="2" t="s">
        <v>14</v>
      </c>
      <c r="B18" s="1">
        <v>1</v>
      </c>
      <c r="C18" s="3">
        <v>25</v>
      </c>
      <c r="E18" s="2" t="s">
        <v>20</v>
      </c>
      <c r="F18" s="1">
        <v>1</v>
      </c>
      <c r="G18" s="3">
        <v>550</v>
      </c>
    </row>
    <row r="19" spans="1:7" x14ac:dyDescent="0.25">
      <c r="A19" s="2" t="s">
        <v>16</v>
      </c>
      <c r="B19" s="1">
        <v>1</v>
      </c>
      <c r="C19" s="3">
        <v>1000</v>
      </c>
      <c r="E19" s="2" t="s">
        <v>4</v>
      </c>
      <c r="F19" s="1">
        <v>1</v>
      </c>
      <c r="G19" s="3">
        <v>600</v>
      </c>
    </row>
    <row r="20" spans="1:7" x14ac:dyDescent="0.25">
      <c r="A20" s="2" t="s">
        <v>17</v>
      </c>
      <c r="B20" s="1">
        <v>5</v>
      </c>
      <c r="C20" s="3">
        <v>975</v>
      </c>
      <c r="E20" s="2" t="s">
        <v>5</v>
      </c>
      <c r="F20" s="1">
        <v>1</v>
      </c>
      <c r="G20" s="3">
        <v>410</v>
      </c>
    </row>
    <row r="21" spans="1:7" x14ac:dyDescent="0.25">
      <c r="A21" s="2" t="s">
        <v>5</v>
      </c>
      <c r="B21" s="1">
        <v>2</v>
      </c>
      <c r="C21" s="3">
        <v>820</v>
      </c>
      <c r="E21" s="2" t="s">
        <v>9</v>
      </c>
      <c r="F21" s="1">
        <v>6</v>
      </c>
      <c r="G21" s="3">
        <v>195</v>
      </c>
    </row>
    <row r="22" spans="1:7" x14ac:dyDescent="0.25">
      <c r="A22" s="2" t="s">
        <v>15</v>
      </c>
      <c r="B22" s="1">
        <v>1</v>
      </c>
      <c r="C22" s="3">
        <v>400</v>
      </c>
      <c r="E22" s="2" t="s">
        <v>12</v>
      </c>
      <c r="F22" s="1">
        <v>4</v>
      </c>
      <c r="G22" s="3">
        <v>200</v>
      </c>
    </row>
    <row r="23" spans="1:7" x14ac:dyDescent="0.25">
      <c r="A23" s="2" t="s">
        <v>7</v>
      </c>
      <c r="B23" s="1">
        <v>1</v>
      </c>
      <c r="C23" s="3">
        <v>2628</v>
      </c>
      <c r="E23" s="4"/>
      <c r="F23" s="1" t="s">
        <v>13</v>
      </c>
      <c r="G23" s="3">
        <f>SUBTOTAL(9,G16:G22)</f>
        <v>2469</v>
      </c>
    </row>
    <row r="24" spans="1:7" x14ac:dyDescent="0.25">
      <c r="A24" s="2" t="s">
        <v>18</v>
      </c>
      <c r="B24" s="1">
        <v>2</v>
      </c>
      <c r="C24" s="3">
        <v>80</v>
      </c>
    </row>
    <row r="25" spans="1:7" x14ac:dyDescent="0.25">
      <c r="A25" s="2" t="s">
        <v>19</v>
      </c>
      <c r="B25" s="1">
        <v>6</v>
      </c>
      <c r="C25" s="3">
        <v>180</v>
      </c>
    </row>
    <row r="26" spans="1:7" x14ac:dyDescent="0.25">
      <c r="A26" s="2" t="s">
        <v>11</v>
      </c>
      <c r="B26" s="1">
        <v>21</v>
      </c>
      <c r="C26" s="3">
        <v>735</v>
      </c>
    </row>
    <row r="27" spans="1:7" x14ac:dyDescent="0.25">
      <c r="A27" s="2" t="s">
        <v>12</v>
      </c>
      <c r="B27" s="1">
        <v>4</v>
      </c>
      <c r="C27" s="3">
        <v>200</v>
      </c>
    </row>
    <row r="28" spans="1:7" x14ac:dyDescent="0.25">
      <c r="A28" s="4"/>
      <c r="B28" s="1" t="s">
        <v>13</v>
      </c>
      <c r="C28" s="3">
        <f>SUBTOTAL(9,C16:C27)</f>
        <v>7557</v>
      </c>
    </row>
    <row r="29" spans="1:7" x14ac:dyDescent="0.25">
      <c r="A29" s="4"/>
      <c r="B29" s="4"/>
      <c r="C29" s="5"/>
    </row>
    <row r="30" spans="1:7" x14ac:dyDescent="0.25">
      <c r="A30" s="1">
        <v>2030</v>
      </c>
      <c r="B30" s="1" t="s">
        <v>0</v>
      </c>
      <c r="C30" s="6" t="s">
        <v>1</v>
      </c>
    </row>
    <row r="31" spans="1:7" x14ac:dyDescent="0.25">
      <c r="A31" s="2" t="s">
        <v>2</v>
      </c>
      <c r="B31" s="1">
        <v>2</v>
      </c>
      <c r="C31" s="3">
        <f>C2</f>
        <v>400</v>
      </c>
    </row>
    <row r="32" spans="1:7" x14ac:dyDescent="0.25">
      <c r="A32" s="2" t="s">
        <v>3</v>
      </c>
      <c r="B32" s="1">
        <v>2</v>
      </c>
      <c r="C32" s="3">
        <v>114</v>
      </c>
    </row>
    <row r="33" spans="1:3" x14ac:dyDescent="0.25">
      <c r="A33" s="2" t="s">
        <v>14</v>
      </c>
      <c r="B33" s="1">
        <v>2</v>
      </c>
      <c r="C33" s="3">
        <v>50</v>
      </c>
    </row>
    <row r="34" spans="1:3" x14ac:dyDescent="0.25">
      <c r="A34" s="2" t="s">
        <v>15</v>
      </c>
      <c r="B34" s="1">
        <v>1</v>
      </c>
      <c r="C34" s="3">
        <v>400</v>
      </c>
    </row>
    <row r="35" spans="1:3" x14ac:dyDescent="0.25">
      <c r="A35" s="2" t="s">
        <v>11</v>
      </c>
      <c r="B35" s="1">
        <v>21</v>
      </c>
      <c r="C35" s="3">
        <v>735</v>
      </c>
    </row>
    <row r="36" spans="1:3" x14ac:dyDescent="0.25">
      <c r="A36" s="2" t="s">
        <v>12</v>
      </c>
      <c r="B36" s="1">
        <v>4</v>
      </c>
      <c r="C36" s="3">
        <v>200</v>
      </c>
    </row>
    <row r="37" spans="1:3" x14ac:dyDescent="0.25">
      <c r="A37" s="4"/>
      <c r="B37" s="1" t="s">
        <v>13</v>
      </c>
      <c r="C37" s="3">
        <f>SUBTOTAL(9,C31:C36)</f>
        <v>1899</v>
      </c>
    </row>
  </sheetData>
  <dataValidations disablePrompts="1" count="1">
    <dataValidation allowBlank="1" showInputMessage="1" showErrorMessage="1" promptTitle="URL's" prompt="https://hsqeconsultancy.co.uk/fixed-ladders-and-access-walkways-inspection/" sqref="A8" xr:uid="{89FD832C-ED57-4B1F-A415-EA4F7083CACF}"/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37" orientation="portrait" r:id="rId1"/>
  <headerFooter>
    <oddHeader>&amp;C&amp;"-,Bold"&amp;14&amp;UHSE Recurring Costs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Irwin</dc:creator>
  <cp:lastModifiedBy>Steve Irwin</cp:lastModifiedBy>
  <cp:lastPrinted>2026-02-05T07:32:51Z</cp:lastPrinted>
  <dcterms:created xsi:type="dcterms:W3CDTF">2026-01-19T15:46:27Z</dcterms:created>
  <dcterms:modified xsi:type="dcterms:W3CDTF">2026-02-05T07:44:47Z</dcterms:modified>
</cp:coreProperties>
</file>